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.senbon\Desktop\鶴見大学　もろもろ\1013_タグごとの問題数の集計\20210301_以後\"/>
    </mc:Choice>
  </mc:AlternateContent>
  <xr:revisionPtr revIDLastSave="0" documentId="13_ncr:1_{449B51F4-C724-49DF-B6B1-F12980C5A805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注意事項" sheetId="92" r:id="rId1"/>
    <sheet name="手順" sheetId="91" r:id="rId2"/>
    <sheet name="タグマスタ一括登録" sheetId="2" r:id="rId3"/>
    <sheet name="集計表（元）" sheetId="4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84" i="44" l="1"/>
  <c r="X93" i="44"/>
  <c r="X92" i="44"/>
  <c r="X91" i="44"/>
  <c r="X90" i="44"/>
  <c r="X89" i="44"/>
  <c r="X88" i="44"/>
  <c r="X87" i="44"/>
  <c r="X86" i="44"/>
  <c r="X85" i="44"/>
  <c r="S93" i="44"/>
  <c r="S92" i="44"/>
  <c r="S91" i="44"/>
  <c r="S90" i="44"/>
  <c r="S89" i="44"/>
  <c r="S88" i="44"/>
  <c r="S87" i="44"/>
  <c r="S86" i="44"/>
  <c r="S85" i="44"/>
  <c r="S84" i="44"/>
  <c r="N93" i="44"/>
  <c r="N92" i="44"/>
  <c r="N91" i="44"/>
  <c r="N90" i="44"/>
  <c r="N89" i="44"/>
  <c r="N88" i="44"/>
  <c r="N87" i="44"/>
  <c r="N86" i="44"/>
  <c r="N85" i="44"/>
  <c r="N84" i="44"/>
  <c r="I93" i="44"/>
  <c r="I92" i="44"/>
  <c r="I91" i="44"/>
  <c r="I90" i="44"/>
  <c r="I89" i="44"/>
  <c r="I88" i="44"/>
  <c r="I87" i="44"/>
  <c r="I86" i="44"/>
  <c r="I85" i="44"/>
  <c r="I84" i="44"/>
  <c r="D93" i="44"/>
  <c r="D92" i="44"/>
  <c r="D91" i="44"/>
  <c r="D90" i="44"/>
  <c r="D89" i="44"/>
  <c r="D88" i="44"/>
  <c r="D87" i="44"/>
  <c r="D86" i="44"/>
  <c r="D85" i="44"/>
  <c r="D84" i="44"/>
  <c r="S96" i="44" l="1"/>
  <c r="N96" i="44"/>
  <c r="I96" i="44"/>
  <c r="X96" i="44"/>
  <c r="D96" i="44"/>
  <c r="V96" i="44"/>
  <c r="V94" i="44" s="1"/>
  <c r="W94" i="44" s="1"/>
  <c r="V93" i="44"/>
  <c r="V92" i="44"/>
  <c r="V91" i="44"/>
  <c r="V90" i="44"/>
  <c r="V89" i="44"/>
  <c r="V88" i="44"/>
  <c r="W88" i="44" s="1"/>
  <c r="V87" i="44"/>
  <c r="V86" i="44"/>
  <c r="V85" i="44"/>
  <c r="W85" i="44" s="1"/>
  <c r="V84" i="44"/>
  <c r="V95" i="44" s="1"/>
  <c r="W95" i="44" s="1"/>
  <c r="Q96" i="44"/>
  <c r="Q93" i="44"/>
  <c r="R93" i="44" s="1"/>
  <c r="Q92" i="44"/>
  <c r="Q91" i="44"/>
  <c r="Q90" i="44"/>
  <c r="Q89" i="44"/>
  <c r="R89" i="44" s="1"/>
  <c r="Q88" i="44"/>
  <c r="Q87" i="44"/>
  <c r="Q86" i="44"/>
  <c r="R86" i="44" s="1"/>
  <c r="Q85" i="44"/>
  <c r="R85" i="44" s="1"/>
  <c r="Q84" i="44"/>
  <c r="Q95" i="44" s="1"/>
  <c r="L96" i="44"/>
  <c r="L94" i="44" s="1"/>
  <c r="M94" i="44" s="1"/>
  <c r="L93" i="44"/>
  <c r="M93" i="44" s="1"/>
  <c r="L92" i="44"/>
  <c r="L91" i="44"/>
  <c r="L90" i="44"/>
  <c r="L89" i="44"/>
  <c r="M89" i="44" s="1"/>
  <c r="L88" i="44"/>
  <c r="L87" i="44"/>
  <c r="L86" i="44"/>
  <c r="L85" i="44"/>
  <c r="M85" i="44" s="1"/>
  <c r="L84" i="44"/>
  <c r="L95" i="44" s="1"/>
  <c r="M95" i="44" s="1"/>
  <c r="G96" i="44"/>
  <c r="G94" i="44" s="1"/>
  <c r="H94" i="44" s="1"/>
  <c r="G93" i="44"/>
  <c r="G92" i="44"/>
  <c r="G91" i="44"/>
  <c r="G90" i="44"/>
  <c r="G89" i="44"/>
  <c r="G88" i="44"/>
  <c r="G87" i="44"/>
  <c r="G86" i="44"/>
  <c r="G85" i="44"/>
  <c r="H85" i="44" s="1"/>
  <c r="G84" i="44"/>
  <c r="G95" i="44" s="1"/>
  <c r="H95" i="44" s="1"/>
  <c r="W93" i="44"/>
  <c r="W92" i="44"/>
  <c r="W91" i="44"/>
  <c r="W90" i="44"/>
  <c r="W89" i="44"/>
  <c r="W87" i="44"/>
  <c r="W86" i="44"/>
  <c r="R92" i="44"/>
  <c r="R91" i="44"/>
  <c r="R90" i="44"/>
  <c r="R88" i="44"/>
  <c r="R87" i="44"/>
  <c r="R84" i="44"/>
  <c r="M92" i="44"/>
  <c r="M91" i="44"/>
  <c r="M90" i="44"/>
  <c r="M88" i="44"/>
  <c r="M87" i="44"/>
  <c r="M86" i="44"/>
  <c r="M84" i="44"/>
  <c r="H93" i="44"/>
  <c r="H92" i="44"/>
  <c r="H91" i="44"/>
  <c r="H90" i="44"/>
  <c r="H89" i="44"/>
  <c r="H88" i="44"/>
  <c r="H87" i="44"/>
  <c r="H86" i="44"/>
  <c r="H84" i="44"/>
  <c r="W79" i="44"/>
  <c r="W78" i="44"/>
  <c r="W77" i="44"/>
  <c r="W76" i="44"/>
  <c r="W75" i="44"/>
  <c r="W74" i="44"/>
  <c r="W73" i="44"/>
  <c r="W72" i="44"/>
  <c r="W71" i="44"/>
  <c r="W70" i="44"/>
  <c r="W69" i="44"/>
  <c r="W68" i="44"/>
  <c r="R79" i="44"/>
  <c r="R78" i="44"/>
  <c r="R77" i="44"/>
  <c r="R76" i="44"/>
  <c r="R75" i="44"/>
  <c r="R74" i="44"/>
  <c r="R73" i="44"/>
  <c r="R72" i="44"/>
  <c r="R71" i="44"/>
  <c r="R70" i="44"/>
  <c r="R69" i="44"/>
  <c r="R68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H79" i="44"/>
  <c r="H78" i="44"/>
  <c r="H77" i="44"/>
  <c r="H76" i="44"/>
  <c r="H75" i="44"/>
  <c r="H74" i="44"/>
  <c r="H73" i="44"/>
  <c r="H72" i="44"/>
  <c r="H71" i="44"/>
  <c r="H70" i="44"/>
  <c r="H69" i="44"/>
  <c r="H68" i="44"/>
  <c r="W63" i="44"/>
  <c r="W62" i="44"/>
  <c r="W61" i="44"/>
  <c r="W60" i="44"/>
  <c r="W59" i="44"/>
  <c r="W58" i="44"/>
  <c r="W57" i="44"/>
  <c r="W56" i="44"/>
  <c r="W55" i="44"/>
  <c r="W54" i="44"/>
  <c r="W53" i="44"/>
  <c r="W52" i="44"/>
  <c r="R63" i="44"/>
  <c r="R62" i="44"/>
  <c r="R61" i="44"/>
  <c r="R60" i="44"/>
  <c r="R59" i="44"/>
  <c r="R58" i="44"/>
  <c r="R57" i="44"/>
  <c r="R56" i="44"/>
  <c r="R55" i="44"/>
  <c r="R54" i="44"/>
  <c r="R53" i="44"/>
  <c r="R52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H63" i="44"/>
  <c r="H62" i="44"/>
  <c r="H61" i="44"/>
  <c r="H60" i="44"/>
  <c r="H59" i="44"/>
  <c r="H58" i="44"/>
  <c r="H57" i="44"/>
  <c r="H56" i="44"/>
  <c r="H55" i="44"/>
  <c r="H54" i="44"/>
  <c r="H53" i="44"/>
  <c r="H52" i="44"/>
  <c r="C95" i="44"/>
  <c r="C94" i="44"/>
  <c r="C93" i="44"/>
  <c r="C92" i="44"/>
  <c r="C91" i="44"/>
  <c r="C90" i="44"/>
  <c r="C89" i="44"/>
  <c r="C88" i="44"/>
  <c r="C87" i="44"/>
  <c r="C86" i="44"/>
  <c r="C85" i="44"/>
  <c r="C84" i="44"/>
  <c r="C79" i="44"/>
  <c r="C78" i="44"/>
  <c r="C77" i="44"/>
  <c r="C76" i="44"/>
  <c r="C75" i="44"/>
  <c r="C74" i="44"/>
  <c r="C73" i="44"/>
  <c r="C72" i="44"/>
  <c r="C71" i="44"/>
  <c r="C70" i="44"/>
  <c r="C69" i="44"/>
  <c r="C68" i="44"/>
  <c r="C63" i="44"/>
  <c r="C62" i="44"/>
  <c r="C61" i="44"/>
  <c r="C60" i="44"/>
  <c r="C59" i="44"/>
  <c r="C58" i="44"/>
  <c r="C57" i="44"/>
  <c r="C56" i="44"/>
  <c r="C55" i="44"/>
  <c r="C54" i="44"/>
  <c r="C53" i="44"/>
  <c r="C52" i="44"/>
  <c r="W47" i="44"/>
  <c r="W46" i="44"/>
  <c r="W45" i="44"/>
  <c r="W44" i="44"/>
  <c r="W43" i="44"/>
  <c r="W42" i="44"/>
  <c r="W41" i="44"/>
  <c r="W40" i="44"/>
  <c r="W39" i="44"/>
  <c r="W38" i="44"/>
  <c r="W37" i="44"/>
  <c r="W36" i="44"/>
  <c r="R47" i="44"/>
  <c r="R46" i="44"/>
  <c r="R45" i="44"/>
  <c r="R44" i="44"/>
  <c r="R43" i="44"/>
  <c r="R42" i="44"/>
  <c r="R41" i="44"/>
  <c r="R40" i="44"/>
  <c r="R39" i="44"/>
  <c r="R38" i="44"/>
  <c r="R37" i="44"/>
  <c r="R36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H47" i="44"/>
  <c r="H46" i="44"/>
  <c r="H45" i="44"/>
  <c r="H44" i="44"/>
  <c r="H43" i="44"/>
  <c r="H42" i="44"/>
  <c r="H41" i="44"/>
  <c r="H40" i="44"/>
  <c r="H39" i="44"/>
  <c r="H38" i="44"/>
  <c r="H37" i="44"/>
  <c r="H36" i="44"/>
  <c r="C47" i="44"/>
  <c r="C46" i="44"/>
  <c r="C45" i="44"/>
  <c r="C44" i="44"/>
  <c r="C43" i="44"/>
  <c r="C42" i="44"/>
  <c r="C41" i="44"/>
  <c r="C40" i="44"/>
  <c r="C39" i="44"/>
  <c r="C38" i="44"/>
  <c r="C37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R31" i="44"/>
  <c r="R30" i="44"/>
  <c r="R29" i="44"/>
  <c r="R28" i="44"/>
  <c r="R27" i="44"/>
  <c r="R26" i="44"/>
  <c r="R25" i="44"/>
  <c r="R24" i="44"/>
  <c r="R23" i="44"/>
  <c r="R22" i="44"/>
  <c r="R21" i="44"/>
  <c r="R20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H31" i="44"/>
  <c r="H30" i="44"/>
  <c r="H29" i="44"/>
  <c r="H28" i="44"/>
  <c r="H27" i="44"/>
  <c r="H26" i="44"/>
  <c r="H25" i="44"/>
  <c r="H24" i="44"/>
  <c r="H23" i="44"/>
  <c r="H22" i="44"/>
  <c r="H21" i="44"/>
  <c r="H20" i="44"/>
  <c r="C36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B93" i="44"/>
  <c r="B92" i="44"/>
  <c r="B91" i="44"/>
  <c r="B90" i="44"/>
  <c r="B89" i="44"/>
  <c r="B96" i="44"/>
  <c r="B88" i="44"/>
  <c r="B87" i="44"/>
  <c r="B86" i="44"/>
  <c r="B85" i="44"/>
  <c r="B84" i="44"/>
  <c r="W84" i="44" l="1"/>
  <c r="Q94" i="44"/>
  <c r="R94" i="44" s="1"/>
  <c r="R95" i="44"/>
  <c r="C6" i="44"/>
  <c r="C5" i="44"/>
  <c r="C4" i="44"/>
  <c r="V79" i="44"/>
  <c r="V78" i="44"/>
  <c r="Q79" i="44"/>
  <c r="Q78" i="44" s="1"/>
  <c r="L79" i="44"/>
  <c r="L78" i="44"/>
  <c r="G79" i="44"/>
  <c r="G78" i="44"/>
  <c r="B79" i="44"/>
  <c r="B78" i="44"/>
  <c r="V63" i="44"/>
  <c r="V62" i="44" s="1"/>
  <c r="Q63" i="44"/>
  <c r="Q62" i="44"/>
  <c r="L63" i="44"/>
  <c r="L62" i="44"/>
  <c r="G63" i="44"/>
  <c r="G62" i="44" s="1"/>
  <c r="B63" i="44"/>
  <c r="B62" i="44" s="1"/>
  <c r="V47" i="44"/>
  <c r="V46" i="44" s="1"/>
  <c r="Q47" i="44"/>
  <c r="Q46" i="44" s="1"/>
  <c r="L47" i="44"/>
  <c r="L46" i="44" s="1"/>
  <c r="G47" i="44"/>
  <c r="G46" i="44"/>
  <c r="B47" i="44"/>
  <c r="B46" i="44"/>
  <c r="V31" i="44"/>
  <c r="V30" i="44"/>
  <c r="Q31" i="44"/>
  <c r="Q30" i="44"/>
  <c r="L31" i="44"/>
  <c r="L30" i="44" s="1"/>
  <c r="G31" i="44"/>
  <c r="G30" i="44"/>
  <c r="B31" i="44"/>
  <c r="B30" i="44" s="1"/>
  <c r="V15" i="44"/>
  <c r="V14" i="44"/>
  <c r="Q15" i="44"/>
  <c r="Q14" i="44"/>
  <c r="L15" i="44"/>
  <c r="L14" i="44"/>
  <c r="G15" i="44"/>
  <c r="G14" i="44"/>
  <c r="B15" i="44"/>
  <c r="H14" i="44" l="1"/>
  <c r="H15" i="44" l="1"/>
  <c r="M14" i="44"/>
  <c r="M15" i="44"/>
  <c r="W15" i="44"/>
  <c r="R14" i="44"/>
  <c r="W14" i="44"/>
  <c r="R15" i="44"/>
  <c r="H13" i="44" l="1"/>
  <c r="H9" i="44"/>
  <c r="H5" i="44"/>
  <c r="H12" i="44"/>
  <c r="H8" i="44"/>
  <c r="H4" i="44"/>
  <c r="H10" i="44"/>
  <c r="H6" i="44"/>
  <c r="H11" i="44"/>
  <c r="H7" i="44"/>
  <c r="W11" i="44"/>
  <c r="W7" i="44"/>
  <c r="W10" i="44"/>
  <c r="W6" i="44"/>
  <c r="W12" i="44"/>
  <c r="W8" i="44"/>
  <c r="W4" i="44"/>
  <c r="W13" i="44"/>
  <c r="W9" i="44"/>
  <c r="W5" i="44"/>
  <c r="M11" i="44"/>
  <c r="M7" i="44"/>
  <c r="M10" i="44"/>
  <c r="M6" i="44"/>
  <c r="M12" i="44"/>
  <c r="M8" i="44"/>
  <c r="M4" i="44"/>
  <c r="M13" i="44"/>
  <c r="M9" i="44"/>
  <c r="M5" i="44"/>
  <c r="R13" i="44"/>
  <c r="R9" i="44"/>
  <c r="R5" i="44"/>
  <c r="R12" i="44"/>
  <c r="R8" i="44"/>
  <c r="R4" i="44"/>
  <c r="R10" i="44"/>
  <c r="R6" i="44"/>
  <c r="R11" i="44"/>
  <c r="R7" i="44"/>
  <c r="H7" i="2"/>
  <c r="H8" i="2" s="1"/>
  <c r="H9" i="2" s="1"/>
  <c r="H10" i="2" s="1"/>
  <c r="D12" i="2" l="1"/>
  <c r="F12" i="2" s="1"/>
  <c r="E12" i="2"/>
  <c r="D13" i="2"/>
  <c r="F13" i="2" s="1"/>
  <c r="E13" i="2"/>
  <c r="D14" i="2"/>
  <c r="F14" i="2" s="1"/>
  <c r="E14" i="2"/>
  <c r="D15" i="2"/>
  <c r="F15" i="2" s="1"/>
  <c r="E15" i="2"/>
  <c r="D16" i="2"/>
  <c r="F16" i="2" s="1"/>
  <c r="E16" i="2"/>
  <c r="D17" i="2"/>
  <c r="F17" i="2" s="1"/>
  <c r="E17" i="2"/>
  <c r="D18" i="2"/>
  <c r="F18" i="2" s="1"/>
  <c r="E18" i="2"/>
  <c r="D19" i="2"/>
  <c r="F19" i="2" s="1"/>
  <c r="E19" i="2"/>
  <c r="D20" i="2"/>
  <c r="F20" i="2" s="1"/>
  <c r="E20" i="2"/>
  <c r="D21" i="2"/>
  <c r="F21" i="2" s="1"/>
  <c r="E21" i="2"/>
  <c r="E3" i="2"/>
  <c r="E4" i="2"/>
  <c r="E5" i="2"/>
  <c r="E6" i="2"/>
  <c r="E7" i="2"/>
  <c r="E8" i="2"/>
  <c r="E9" i="2"/>
  <c r="E10" i="2"/>
  <c r="E11" i="2"/>
  <c r="E2" i="2"/>
  <c r="D3" i="2"/>
  <c r="D4" i="2"/>
  <c r="D5" i="2"/>
  <c r="D6" i="2"/>
  <c r="D7" i="2"/>
  <c r="F7" i="2" s="1"/>
  <c r="D8" i="2"/>
  <c r="D9" i="2"/>
  <c r="D10" i="2"/>
  <c r="D11" i="2"/>
  <c r="D2" i="2"/>
  <c r="F2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C13" i="44" l="1"/>
  <c r="C15" i="44"/>
  <c r="C8" i="44"/>
  <c r="C12" i="44"/>
  <c r="C9" i="44"/>
  <c r="C7" i="44"/>
  <c r="C11" i="44"/>
  <c r="C10" i="44"/>
  <c r="B14" i="44"/>
  <c r="C14" i="44"/>
  <c r="B95" i="44" l="1"/>
  <c r="B94" i="44" s="1"/>
</calcChain>
</file>

<file path=xl/sharedStrings.xml><?xml version="1.0" encoding="utf-8"?>
<sst xmlns="http://schemas.openxmlformats.org/spreadsheetml/2006/main" count="592" uniqueCount="74">
  <si>
    <t>区分,―</t>
  </si>
  <si>
    <t>区分,必修</t>
  </si>
  <si>
    <t>区分,一般</t>
  </si>
  <si>
    <t>区分,臨床一般</t>
  </si>
  <si>
    <t>区分,臨実</t>
  </si>
  <si>
    <t>領域,―</t>
  </si>
  <si>
    <t>領域,必修</t>
  </si>
  <si>
    <t>領域,A</t>
  </si>
  <si>
    <t>領域,B</t>
  </si>
  <si>
    <t>領域,C</t>
  </si>
  <si>
    <t>集計の対象</t>
    <rPh sb="0" eb="2">
      <t>シュウケイ</t>
    </rPh>
    <rPh sb="3" eb="5">
      <t>タイショウ</t>
    </rPh>
    <phoneticPr fontId="1"/>
  </si>
  <si>
    <t>タグマスタより貼付</t>
    <rPh sb="7" eb="9">
      <t>チョウフ</t>
    </rPh>
    <phoneticPr fontId="1"/>
  </si>
  <si>
    <t>№</t>
    <phoneticPr fontId="1"/>
  </si>
  <si>
    <t>タグ名</t>
    <rPh sb="2" eb="3">
      <t>メイ</t>
    </rPh>
    <phoneticPr fontId="1"/>
  </si>
  <si>
    <t>タグ内容</t>
    <rPh sb="2" eb="4">
      <t>ナイヨウ</t>
    </rPh>
    <phoneticPr fontId="1"/>
  </si>
  <si>
    <t>％</t>
    <phoneticPr fontId="1"/>
  </si>
  <si>
    <t>未入力</t>
    <rPh sb="0" eb="1">
      <t>ミ</t>
    </rPh>
    <rPh sb="1" eb="3">
      <t>ニュウリョク</t>
    </rPh>
    <phoneticPr fontId="1"/>
  </si>
  <si>
    <t>集計済み</t>
    <rPh sb="0" eb="2">
      <t>シュウケイ</t>
    </rPh>
    <rPh sb="2" eb="3">
      <t>ス</t>
    </rPh>
    <phoneticPr fontId="1"/>
  </si>
  <si>
    <t>計</t>
    <rPh sb="0" eb="1">
      <t>ケイ</t>
    </rPh>
    <phoneticPr fontId="1"/>
  </si>
  <si>
    <t>問題集名1</t>
    <rPh sb="0" eb="3">
      <t>モンダイシュウ</t>
    </rPh>
    <rPh sb="3" eb="4">
      <t>メイ</t>
    </rPh>
    <phoneticPr fontId="1"/>
  </si>
  <si>
    <t>基準（件数）</t>
    <rPh sb="0" eb="2">
      <t>キジュン</t>
    </rPh>
    <rPh sb="3" eb="5">
      <t>ケンスウ</t>
    </rPh>
    <phoneticPr fontId="1"/>
  </si>
  <si>
    <t>タグ名1</t>
    <rPh sb="2" eb="3">
      <t>メイ</t>
    </rPh>
    <phoneticPr fontId="1"/>
  </si>
  <si>
    <t>タグ名2</t>
    <rPh sb="2" eb="3">
      <t>メイ</t>
    </rPh>
    <phoneticPr fontId="1"/>
  </si>
  <si>
    <t>タグ名3</t>
    <rPh sb="2" eb="3">
      <t>メイ</t>
    </rPh>
    <phoneticPr fontId="1"/>
  </si>
  <si>
    <t>問題数</t>
    <rPh sb="0" eb="2">
      <t>モンダイ</t>
    </rPh>
    <rPh sb="2" eb="3">
      <t>スウ</t>
    </rPh>
    <phoneticPr fontId="1"/>
  </si>
  <si>
    <t>タグ名4</t>
    <rPh sb="2" eb="3">
      <t>メイ</t>
    </rPh>
    <phoneticPr fontId="1"/>
  </si>
  <si>
    <t>タグ名5</t>
    <rPh sb="2" eb="3">
      <t>メイ</t>
    </rPh>
    <phoneticPr fontId="1"/>
  </si>
  <si>
    <t>問題集</t>
    <rPh sb="0" eb="3">
      <t>モンダイシュウ</t>
    </rPh>
    <phoneticPr fontId="1"/>
  </si>
  <si>
    <t>問題集名2</t>
    <rPh sb="0" eb="3">
      <t>モンダイシュウ</t>
    </rPh>
    <rPh sb="3" eb="4">
      <t>メイ</t>
    </rPh>
    <phoneticPr fontId="1"/>
  </si>
  <si>
    <t>問題集名3</t>
    <rPh sb="0" eb="3">
      <t>モンダイシュウ</t>
    </rPh>
    <rPh sb="3" eb="4">
      <t>メイ</t>
    </rPh>
    <phoneticPr fontId="1"/>
  </si>
  <si>
    <t>問題集名4</t>
    <rPh sb="0" eb="3">
      <t>モンダイシュウ</t>
    </rPh>
    <rPh sb="3" eb="4">
      <t>メイ</t>
    </rPh>
    <phoneticPr fontId="1"/>
  </si>
  <si>
    <t>問題集名5</t>
    <rPh sb="0" eb="3">
      <t>モンダイシュウ</t>
    </rPh>
    <rPh sb="3" eb="4">
      <t>メイ</t>
    </rPh>
    <phoneticPr fontId="1"/>
  </si>
  <si>
    <t>合計</t>
    <rPh sb="0" eb="2">
      <t>ゴウケイ</t>
    </rPh>
    <phoneticPr fontId="1"/>
  </si>
  <si>
    <t>「タグごとに集計」をクリック</t>
    <phoneticPr fontId="1"/>
  </si>
  <si>
    <t>ファイルを選択</t>
    <phoneticPr fontId="1"/>
  </si>
  <si>
    <t>CBTのタグマスタ一括登録画面より、集計対象の部分を貼付する</t>
    <rPh sb="9" eb="11">
      <t>イッカツ</t>
    </rPh>
    <rPh sb="11" eb="13">
      <t>トウロク</t>
    </rPh>
    <rPh sb="13" eb="15">
      <t>ガメン</t>
    </rPh>
    <rPh sb="18" eb="20">
      <t>シュウケイ</t>
    </rPh>
    <rPh sb="20" eb="22">
      <t>タイショウ</t>
    </rPh>
    <rPh sb="23" eb="25">
      <t>ブブン</t>
    </rPh>
    <phoneticPr fontId="1"/>
  </si>
  <si>
    <t>集計対象の問題集を選択する</t>
    <rPh sb="0" eb="2">
      <t>シュウケイ</t>
    </rPh>
    <rPh sb="2" eb="4">
      <t>タイショウ</t>
    </rPh>
    <rPh sb="5" eb="8">
      <t>モンダイシュウ</t>
    </rPh>
    <rPh sb="9" eb="11">
      <t>センタク</t>
    </rPh>
    <phoneticPr fontId="1"/>
  </si>
  <si>
    <t>「タグマスタより貼付」列に、コピー＆ペースト</t>
    <rPh sb="11" eb="12">
      <t>レツ</t>
    </rPh>
    <phoneticPr fontId="1"/>
  </si>
  <si>
    <t>「集計の対象」列に、1を指定</t>
    <rPh sb="1" eb="3">
      <t>シュウケイ</t>
    </rPh>
    <rPh sb="4" eb="6">
      <t>タイショウ</t>
    </rPh>
    <rPh sb="7" eb="8">
      <t>レツ</t>
    </rPh>
    <rPh sb="12" eb="14">
      <t>シテイ</t>
    </rPh>
    <phoneticPr fontId="1"/>
  </si>
  <si>
    <t>「ファイルを選択」をクリックし、ファイルを選択</t>
    <rPh sb="21" eb="23">
      <t>センタク</t>
    </rPh>
    <phoneticPr fontId="1"/>
  </si>
  <si>
    <t>（例では、３つの問題集を選択）</t>
    <phoneticPr fontId="1"/>
  </si>
  <si>
    <t>タグごとに集計</t>
    <phoneticPr fontId="1"/>
  </si>
  <si>
    <t>［集計表］シートに、集計された問題数が出力される</t>
    <rPh sb="10" eb="12">
      <t>シュウケイ</t>
    </rPh>
    <rPh sb="15" eb="17">
      <t>モンダイ</t>
    </rPh>
    <rPh sb="17" eb="18">
      <t>スウ</t>
    </rPh>
    <rPh sb="19" eb="21">
      <t>シュツリョク</t>
    </rPh>
    <phoneticPr fontId="1"/>
  </si>
  <si>
    <t>集計対象のタグ名（種類）の数　 例）区分、領域、・・・</t>
    <phoneticPr fontId="1"/>
  </si>
  <si>
    <t>各タグの中身の個数　           例）必修、一般、臨実、・・・</t>
    <phoneticPr fontId="1"/>
  </si>
  <si>
    <t>選択可能な問題集の最大数</t>
    <phoneticPr fontId="1"/>
  </si>
  <si>
    <t>※リリース後の変更は不可能ではないですが、改修が必要となります。</t>
    <rPh sb="5" eb="6">
      <t>アト</t>
    </rPh>
    <rPh sb="7" eb="9">
      <t>ヘンコウ</t>
    </rPh>
    <rPh sb="10" eb="13">
      <t>フカノウ</t>
    </rPh>
    <rPh sb="21" eb="23">
      <t>カイシュウ</t>
    </rPh>
    <rPh sb="24" eb="26">
      <t>ヒツヨウ</t>
    </rPh>
    <phoneticPr fontId="1"/>
  </si>
  <si>
    <t>ー</t>
    <phoneticPr fontId="1"/>
  </si>
  <si>
    <t>タグ内容01</t>
    <rPh sb="2" eb="4">
      <t>ナイヨウ</t>
    </rPh>
    <phoneticPr fontId="1"/>
  </si>
  <si>
    <t>タグ内容02</t>
    <rPh sb="2" eb="4">
      <t>ナイヨウ</t>
    </rPh>
    <phoneticPr fontId="1"/>
  </si>
  <si>
    <t>タグ内容03</t>
    <rPh sb="2" eb="4">
      <t>ナイヨウ</t>
    </rPh>
    <phoneticPr fontId="1"/>
  </si>
  <si>
    <t>タグ内容04</t>
    <rPh sb="2" eb="4">
      <t>ナイヨウ</t>
    </rPh>
    <phoneticPr fontId="1"/>
  </si>
  <si>
    <t>タグ内容05</t>
    <rPh sb="2" eb="4">
      <t>ナイヨウ</t>
    </rPh>
    <phoneticPr fontId="1"/>
  </si>
  <si>
    <t>タグ内容06</t>
    <rPh sb="2" eb="4">
      <t>ナイヨウ</t>
    </rPh>
    <phoneticPr fontId="1"/>
  </si>
  <si>
    <t>タグ内容07</t>
    <rPh sb="2" eb="4">
      <t>ナイヨウ</t>
    </rPh>
    <phoneticPr fontId="1"/>
  </si>
  <si>
    <t>タグ内容08</t>
    <rPh sb="2" eb="4">
      <t>ナイヨウ</t>
    </rPh>
    <phoneticPr fontId="1"/>
  </si>
  <si>
    <t>タグ内容09</t>
    <rPh sb="2" eb="4">
      <t>ナイヨウ</t>
    </rPh>
    <phoneticPr fontId="1"/>
  </si>
  <si>
    <t>タグ内容10</t>
    <rPh sb="2" eb="4">
      <t>ナイヨウ</t>
    </rPh>
    <phoneticPr fontId="1"/>
  </si>
  <si>
    <t>問題集名を指定する</t>
    <rPh sb="0" eb="2">
      <t>モンダイ</t>
    </rPh>
    <rPh sb="2" eb="4">
      <t>シュウメイ</t>
    </rPh>
    <rPh sb="5" eb="7">
      <t>シテイ</t>
    </rPh>
    <phoneticPr fontId="1"/>
  </si>
  <si>
    <t>※5個まで選択可能</t>
    <rPh sb="2" eb="3">
      <t>コ</t>
    </rPh>
    <rPh sb="5" eb="7">
      <t>センタク</t>
    </rPh>
    <rPh sb="7" eb="9">
      <t>カノウ</t>
    </rPh>
    <phoneticPr fontId="1"/>
  </si>
  <si>
    <t>基準</t>
    <rPh sb="0" eb="2">
      <t>キジュン</t>
    </rPh>
    <phoneticPr fontId="1"/>
  </si>
  <si>
    <t>「基準」列に、比率（%）を入力</t>
    <rPh sb="1" eb="3">
      <t>キジュン</t>
    </rPh>
    <rPh sb="4" eb="5">
      <t>レツ</t>
    </rPh>
    <rPh sb="7" eb="9">
      <t>ヒリツ</t>
    </rPh>
    <rPh sb="13" eb="15">
      <t>ニュウリョク</t>
    </rPh>
    <phoneticPr fontId="1"/>
  </si>
  <si>
    <t>（合計を90問とし、この比率に則って件数を計算します）</t>
    <rPh sb="1" eb="3">
      <t>ゴウケイ</t>
    </rPh>
    <rPh sb="6" eb="7">
      <t>モン</t>
    </rPh>
    <rPh sb="12" eb="14">
      <t>ヒリツ</t>
    </rPh>
    <rPh sb="15" eb="16">
      <t>ノット</t>
    </rPh>
    <rPh sb="18" eb="20">
      <t>ケンスウ</t>
    </rPh>
    <rPh sb="21" eb="23">
      <t>ケイサン</t>
    </rPh>
    <phoneticPr fontId="1"/>
  </si>
  <si>
    <t>国試の「基準」欄について</t>
    <rPh sb="0" eb="1">
      <t>コク</t>
    </rPh>
    <rPh sb="1" eb="2">
      <t>シ</t>
    </rPh>
    <rPh sb="4" eb="6">
      <t>キジュン</t>
    </rPh>
    <rPh sb="7" eb="8">
      <t>ラン</t>
    </rPh>
    <phoneticPr fontId="1"/>
  </si>
  <si>
    <t>［タグマスタ一括登録］シートにタグ内容を貼付する際に</t>
    <rPh sb="17" eb="19">
      <t>ナイヨウ</t>
    </rPh>
    <rPh sb="20" eb="22">
      <t>チョウフ</t>
    </rPh>
    <rPh sb="24" eb="25">
      <t>サイ</t>
    </rPh>
    <phoneticPr fontId="1"/>
  </si>
  <si>
    <t>ようにしています。</t>
    <phoneticPr fontId="1"/>
  </si>
  <si>
    <t>「基準」列に比率（%）を入力すると、その比率に則って件数を計算する</t>
    <rPh sb="1" eb="3">
      <t>キジュン</t>
    </rPh>
    <rPh sb="4" eb="5">
      <t>レツ</t>
    </rPh>
    <rPh sb="6" eb="8">
      <t>ヒリツ</t>
    </rPh>
    <rPh sb="12" eb="14">
      <t>ニュウリョク</t>
    </rPh>
    <phoneticPr fontId="1"/>
  </si>
  <si>
    <t>［集計表］シートの削除</t>
    <rPh sb="9" eb="11">
      <t>サクジョ</t>
    </rPh>
    <phoneticPr fontId="1"/>
  </si>
  <si>
    <t>処理の前に、［集計表］シートが存在していたら、</t>
    <rPh sb="0" eb="2">
      <t>ショリ</t>
    </rPh>
    <rPh sb="3" eb="4">
      <t>マエ</t>
    </rPh>
    <rPh sb="15" eb="17">
      <t>ソンザイ</t>
    </rPh>
    <phoneticPr fontId="1"/>
  </si>
  <si>
    <t>タグマスタのデータを貼付</t>
    <rPh sb="10" eb="12">
      <t>チョウフ</t>
    </rPh>
    <phoneticPr fontId="1"/>
  </si>
  <si>
    <t>各項目の最大数は、以下の通りとしています。</t>
    <rPh sb="0" eb="1">
      <t>カク</t>
    </rPh>
    <rPh sb="1" eb="3">
      <t>コウモク</t>
    </rPh>
    <rPh sb="4" eb="6">
      <t>サイダイ</t>
    </rPh>
    <rPh sb="6" eb="7">
      <t>スウ</t>
    </rPh>
    <rPh sb="9" eb="11">
      <t>イカ</t>
    </rPh>
    <rPh sb="12" eb="13">
      <t>トオ</t>
    </rPh>
    <phoneticPr fontId="1"/>
  </si>
  <si>
    <t>シート名を変更、もしくはシートを削除する</t>
    <rPh sb="3" eb="4">
      <t>メイ</t>
    </rPh>
    <rPh sb="5" eb="7">
      <t>ヘンコウ</t>
    </rPh>
    <rPh sb="16" eb="18">
      <t>サクジョ</t>
    </rPh>
    <phoneticPr fontId="1"/>
  </si>
  <si>
    <t>［タグマスタ一括登録］シート　操作方法</t>
    <rPh sb="15" eb="17">
      <t>ソウサ</t>
    </rPh>
    <rPh sb="17" eb="19">
      <t>ホウホウ</t>
    </rPh>
    <phoneticPr fontId="1"/>
  </si>
  <si>
    <t>注意事項</t>
    <rPh sb="0" eb="2">
      <t>チュウイ</t>
    </rPh>
    <rPh sb="2" eb="4">
      <t>ジコウ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</si>
</sst>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0"/>
      <name val="Arial"/>
      <family val="2"/>
    </font>
    <font>
      <sz val="11"/>
      <color rgb="FFFF0000"/>
      <name val="Yu Gothic"/>
      <family val="2"/>
      <scheme val="minor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0"/>
      <name val="Arial"/>
      <family val="2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3" fillId="0" borderId="0"/>
    <xf numFmtId="0" fontId="7" fillId="0" borderId="0"/>
    <xf numFmtId="0" fontId="8" fillId="0" borderId="0"/>
  </cellStyleXfs>
  <cellXfs count="3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1" xfId="0" applyFill="1" applyBorder="1" applyAlignment="1">
      <alignment shrinkToFit="1"/>
    </xf>
    <xf numFmtId="0" fontId="0" fillId="0" borderId="1" xfId="0" applyBorder="1" applyAlignment="1">
      <alignment shrinkToFit="1"/>
    </xf>
    <xf numFmtId="0" fontId="0" fillId="0" borderId="0" xfId="0" applyFill="1"/>
    <xf numFmtId="49" fontId="0" fillId="0" borderId="0" xfId="0" applyNumberFormat="1"/>
    <xf numFmtId="49" fontId="0" fillId="0" borderId="0" xfId="0" applyNumberFormat="1" applyFill="1" applyBorder="1" applyAlignment="1">
      <alignment shrinkToFit="1"/>
    </xf>
    <xf numFmtId="176" fontId="0" fillId="0" borderId="1" xfId="0" applyNumberFormat="1" applyBorder="1" applyAlignment="1">
      <alignment shrinkToFit="1"/>
    </xf>
    <xf numFmtId="0" fontId="0" fillId="2" borderId="7" xfId="0" applyFill="1" applyBorder="1" applyAlignment="1">
      <alignment shrinkToFit="1"/>
    </xf>
    <xf numFmtId="0" fontId="0" fillId="0" borderId="7" xfId="0" applyBorder="1" applyAlignment="1">
      <alignment shrinkToFit="1"/>
    </xf>
    <xf numFmtId="0" fontId="0" fillId="2" borderId="8" xfId="0" applyFill="1" applyBorder="1" applyAlignment="1">
      <alignment shrinkToFit="1"/>
    </xf>
    <xf numFmtId="0" fontId="0" fillId="2" borderId="9" xfId="0" applyFill="1" applyBorder="1" applyAlignment="1">
      <alignment shrinkToFit="1"/>
    </xf>
    <xf numFmtId="0" fontId="0" fillId="2" borderId="10" xfId="0" applyFill="1" applyBorder="1" applyAlignment="1">
      <alignment shrinkToFit="1"/>
    </xf>
    <xf numFmtId="0" fontId="0" fillId="2" borderId="11" xfId="0" applyFill="1" applyBorder="1" applyAlignment="1">
      <alignment shrinkToFit="1"/>
    </xf>
    <xf numFmtId="0" fontId="0" fillId="2" borderId="13" xfId="0" applyFill="1" applyBorder="1" applyAlignment="1">
      <alignment shrinkToFit="1"/>
    </xf>
    <xf numFmtId="0" fontId="0" fillId="0" borderId="14" xfId="0" applyBorder="1" applyAlignment="1">
      <alignment shrinkToFit="1"/>
    </xf>
    <xf numFmtId="176" fontId="0" fillId="0" borderId="14" xfId="0" applyNumberFormat="1" applyBorder="1" applyAlignment="1">
      <alignment shrinkToFit="1"/>
    </xf>
    <xf numFmtId="0" fontId="0" fillId="3" borderId="12" xfId="0" applyFill="1" applyBorder="1" applyAlignment="1">
      <alignment shrinkToFit="1"/>
    </xf>
    <xf numFmtId="0" fontId="0" fillId="3" borderId="15" xfId="0" applyFill="1" applyBorder="1" applyAlignment="1">
      <alignment shrinkToFit="1"/>
    </xf>
    <xf numFmtId="0" fontId="0" fillId="0" borderId="0" xfId="0" applyFill="1" applyBorder="1"/>
    <xf numFmtId="0" fontId="0" fillId="0" borderId="0" xfId="0" applyFill="1" applyBorder="1" applyAlignment="1">
      <alignment shrinkToFit="1"/>
    </xf>
    <xf numFmtId="0" fontId="0" fillId="0" borderId="16" xfId="0" applyFill="1" applyBorder="1" applyAlignment="1">
      <alignment shrinkToFit="1"/>
    </xf>
    <xf numFmtId="0" fontId="0" fillId="0" borderId="17" xfId="0" applyFill="1" applyBorder="1" applyAlignment="1">
      <alignment shrinkToFit="1"/>
    </xf>
    <xf numFmtId="176" fontId="0" fillId="0" borderId="9" xfId="0" applyNumberFormat="1" applyBorder="1" applyAlignment="1">
      <alignment shrinkToFit="1"/>
    </xf>
    <xf numFmtId="0" fontId="0" fillId="0" borderId="1" xfId="0" applyFill="1" applyBorder="1" applyAlignment="1">
      <alignment shrinkToFit="1"/>
    </xf>
    <xf numFmtId="0" fontId="0" fillId="0" borderId="14" xfId="0" applyFill="1" applyBorder="1" applyAlignment="1">
      <alignment shrinkToFit="1"/>
    </xf>
    <xf numFmtId="9" fontId="0" fillId="0" borderId="0" xfId="0" applyNumberFormat="1"/>
    <xf numFmtId="9" fontId="0" fillId="0" borderId="4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4" fillId="0" borderId="0" xfId="0" applyFont="1"/>
    <xf numFmtId="0" fontId="5" fillId="0" borderId="0" xfId="0" applyFont="1"/>
    <xf numFmtId="0" fontId="6" fillId="0" borderId="0" xfId="0" applyFont="1"/>
  </cellXfs>
  <cellStyles count="4">
    <cellStyle name="標準" xfId="0" builtinId="0"/>
    <cellStyle name="標準 2" xfId="1" xr:uid="{72097707-4DF3-43F8-B5C7-46AF22519CFA}"/>
    <cellStyle name="標準 3" xfId="2" xr:uid="{E39B1D98-3D2D-4E76-B4E2-1B2C2CF924CE}"/>
    <cellStyle name="標準 4" xfId="3" xr:uid="{1DBDE91F-01AF-4024-8895-BF037DE4BF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</xdr:row>
      <xdr:rowOff>0</xdr:rowOff>
    </xdr:from>
    <xdr:ext cx="7772400" cy="437197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476875"/>
          <a:ext cx="7772400" cy="4371975"/>
        </a:xfrm>
        <a:prstGeom prst="rect">
          <a:avLst/>
        </a:prstGeom>
      </xdr:spPr>
    </xdr:pic>
    <xdr:clientData/>
  </xdr:oneCellAnchor>
  <xdr:twoCellAnchor>
    <xdr:from>
      <xdr:col>4</xdr:col>
      <xdr:colOff>304800</xdr:colOff>
      <xdr:row>22</xdr:row>
      <xdr:rowOff>28575</xdr:rowOff>
    </xdr:from>
    <xdr:to>
      <xdr:col>5</xdr:col>
      <xdr:colOff>123825</xdr:colOff>
      <xdr:row>24</xdr:row>
      <xdr:rowOff>38100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48000" y="6457950"/>
          <a:ext cx="504825" cy="48577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590550</xdr:colOff>
      <xdr:row>22</xdr:row>
      <xdr:rowOff>19050</xdr:rowOff>
    </xdr:from>
    <xdr:to>
      <xdr:col>8</xdr:col>
      <xdr:colOff>133350</xdr:colOff>
      <xdr:row>24</xdr:row>
      <xdr:rowOff>28575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05350" y="6448425"/>
          <a:ext cx="914400" cy="48577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277586</xdr:colOff>
      <xdr:row>15</xdr:row>
      <xdr:rowOff>5443</xdr:rowOff>
    </xdr:from>
    <xdr:to>
      <xdr:col>4</xdr:col>
      <xdr:colOff>506050</xdr:colOff>
      <xdr:row>22</xdr:row>
      <xdr:rowOff>39461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cxnSpLocks/>
        </xdr:cNvCxnSpPr>
      </xdr:nvCxnSpPr>
      <xdr:spPr>
        <a:xfrm>
          <a:off x="1616529" y="3205843"/>
          <a:ext cx="1567407" cy="1634218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283028</xdr:colOff>
      <xdr:row>15</xdr:row>
      <xdr:rowOff>5443</xdr:rowOff>
    </xdr:from>
    <xdr:to>
      <xdr:col>7</xdr:col>
      <xdr:colOff>329293</xdr:colOff>
      <xdr:row>22</xdr:row>
      <xdr:rowOff>24493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cxnSpLocks/>
        </xdr:cNvCxnSpPr>
      </xdr:nvCxnSpPr>
      <xdr:spPr>
        <a:xfrm>
          <a:off x="1621971" y="3205843"/>
          <a:ext cx="3393622" cy="161925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10</xdr:col>
          <xdr:colOff>53340</xdr:colOff>
          <xdr:row>18</xdr:row>
          <xdr:rowOff>22860</xdr:rowOff>
        </xdr:to>
        <xdr:sp macro="" textlink="">
          <xdr:nvSpPr>
            <xdr:cNvPr id="2050" name="cmdExecu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10</xdr:col>
          <xdr:colOff>45720</xdr:colOff>
          <xdr:row>3</xdr:row>
          <xdr:rowOff>30480</xdr:rowOff>
        </xdr:to>
        <xdr:sp macro="" textlink="">
          <xdr:nvSpPr>
            <xdr:cNvPr id="2052" name="cmdFileOpe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9DF3-F702-4002-94D7-DCDE1BDF394F}">
  <sheetPr codeName="Sheet16">
    <pageSetUpPr fitToPage="1"/>
  </sheetPr>
  <dimension ref="A2:H15"/>
  <sheetViews>
    <sheetView zoomScaleNormal="100" workbookViewId="0"/>
  </sheetViews>
  <sheetFormatPr defaultRowHeight="18"/>
  <sheetData>
    <row r="2" spans="1:8" s="6" customFormat="1" ht="22.2">
      <c r="A2" s="37" t="s">
        <v>73</v>
      </c>
    </row>
    <row r="4" spans="1:8">
      <c r="A4">
        <v>1</v>
      </c>
      <c r="B4" t="s">
        <v>70</v>
      </c>
    </row>
    <row r="5" spans="1:8">
      <c r="B5" t="s">
        <v>46</v>
      </c>
    </row>
    <row r="7" spans="1:8">
      <c r="B7" t="s">
        <v>43</v>
      </c>
      <c r="H7">
        <v>5</v>
      </c>
    </row>
    <row r="8" spans="1:8">
      <c r="B8" t="s">
        <v>44</v>
      </c>
      <c r="H8">
        <v>10</v>
      </c>
    </row>
    <row r="9" spans="1:8">
      <c r="B9" t="s">
        <v>45</v>
      </c>
      <c r="H9">
        <v>5</v>
      </c>
    </row>
    <row r="12" spans="1:8">
      <c r="A12">
        <v>2</v>
      </c>
      <c r="B12" t="s">
        <v>63</v>
      </c>
    </row>
    <row r="13" spans="1:8">
      <c r="B13" t="s">
        <v>64</v>
      </c>
    </row>
    <row r="14" spans="1:8">
      <c r="B14" t="s">
        <v>66</v>
      </c>
    </row>
    <row r="15" spans="1:8">
      <c r="B15" t="s">
        <v>65</v>
      </c>
    </row>
  </sheetData>
  <phoneticPr fontId="1"/>
  <pageMargins left="0.7" right="0.7" top="0.75" bottom="0.75" header="0.3" footer="0.3"/>
  <pageSetup paperSize="9" scale="6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C103-A9EA-4714-B5BB-55F43BE4CD50}">
  <sheetPr codeName="Sheet5"/>
  <dimension ref="A2:B24"/>
  <sheetViews>
    <sheetView workbookViewId="0"/>
  </sheetViews>
  <sheetFormatPr defaultRowHeight="18"/>
  <sheetData>
    <row r="2" spans="1:2" s="6" customFormat="1" ht="22.2">
      <c r="A2" s="37" t="s">
        <v>72</v>
      </c>
    </row>
    <row r="4" spans="1:2" s="6" customFormat="1">
      <c r="A4" s="6">
        <v>1</v>
      </c>
      <c r="B4" s="6" t="s">
        <v>69</v>
      </c>
    </row>
    <row r="5" spans="1:2">
      <c r="B5" t="s">
        <v>35</v>
      </c>
    </row>
    <row r="6" spans="1:2">
      <c r="B6" t="s">
        <v>37</v>
      </c>
    </row>
    <row r="7" spans="1:2">
      <c r="B7" t="s">
        <v>38</v>
      </c>
    </row>
    <row r="8" spans="1:2">
      <c r="B8" s="35" t="s">
        <v>61</v>
      </c>
    </row>
    <row r="9" spans="1:2">
      <c r="B9" s="36" t="s">
        <v>62</v>
      </c>
    </row>
    <row r="11" spans="1:2" s="6" customFormat="1">
      <c r="A11" s="6">
        <v>2</v>
      </c>
      <c r="B11" s="6" t="s">
        <v>34</v>
      </c>
    </row>
    <row r="12" spans="1:2">
      <c r="B12" t="s">
        <v>36</v>
      </c>
    </row>
    <row r="13" spans="1:2">
      <c r="B13" t="s">
        <v>39</v>
      </c>
    </row>
    <row r="14" spans="1:2">
      <c r="B14" t="s">
        <v>58</v>
      </c>
    </row>
    <row r="15" spans="1:2">
      <c r="B15" t="s">
        <v>59</v>
      </c>
    </row>
    <row r="16" spans="1:2">
      <c r="B16" t="s">
        <v>40</v>
      </c>
    </row>
    <row r="18" spans="1:2" s="6" customFormat="1">
      <c r="A18" s="6">
        <v>3</v>
      </c>
      <c r="B18" s="6" t="s">
        <v>67</v>
      </c>
    </row>
    <row r="19" spans="1:2">
      <c r="B19" t="s">
        <v>68</v>
      </c>
    </row>
    <row r="20" spans="1:2">
      <c r="B20" t="s">
        <v>71</v>
      </c>
    </row>
    <row r="22" spans="1:2" s="6" customFormat="1">
      <c r="A22" s="6">
        <v>4</v>
      </c>
      <c r="B22" s="6" t="s">
        <v>41</v>
      </c>
    </row>
    <row r="23" spans="1:2">
      <c r="B23" t="s">
        <v>33</v>
      </c>
    </row>
    <row r="24" spans="1:2">
      <c r="B24" t="s"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9E6D-9275-4B55-AC5A-C469CF1AEEC1}">
  <sheetPr codeName="Sheet2"/>
  <dimension ref="A1:I21"/>
  <sheetViews>
    <sheetView tabSelected="1" zoomScale="90" zoomScaleNormal="90" workbookViewId="0">
      <selection activeCell="I6" sqref="I6"/>
    </sheetView>
  </sheetViews>
  <sheetFormatPr defaultRowHeight="18"/>
  <cols>
    <col min="1" max="1" width="6.69921875" customWidth="1"/>
    <col min="2" max="2" width="20.69921875" customWidth="1"/>
    <col min="3" max="5" width="10.69921875" customWidth="1"/>
    <col min="6" max="6" width="10.69921875" style="31" customWidth="1"/>
  </cols>
  <sheetData>
    <row r="1" spans="1:9" ht="18.600000000000001" thickBot="1">
      <c r="A1" t="s">
        <v>12</v>
      </c>
      <c r="B1" s="6" t="s">
        <v>11</v>
      </c>
      <c r="C1" s="6" t="s">
        <v>10</v>
      </c>
      <c r="D1" t="s">
        <v>13</v>
      </c>
      <c r="E1" t="s">
        <v>14</v>
      </c>
      <c r="F1" s="31" t="s">
        <v>60</v>
      </c>
    </row>
    <row r="2" spans="1:9">
      <c r="A2" s="1">
        <v>1</v>
      </c>
      <c r="B2" s="3" t="s">
        <v>0</v>
      </c>
      <c r="C2" s="3"/>
      <c r="D2" s="2" t="str">
        <f t="shared" ref="D2:D21" si="0">IF(C2 = 1, MID(B2,1,2), "")</f>
        <v/>
      </c>
      <c r="E2" s="1" t="str">
        <f t="shared" ref="E2:F21" si="1">IF(C2 = 1, MID($B2,4,10), "")</f>
        <v/>
      </c>
      <c r="F2" s="32" t="str">
        <f t="shared" si="1"/>
        <v/>
      </c>
    </row>
    <row r="3" spans="1:9">
      <c r="A3" s="1">
        <f>A2+1</f>
        <v>2</v>
      </c>
      <c r="B3" s="4" t="s">
        <v>1</v>
      </c>
      <c r="C3" s="4">
        <v>1</v>
      </c>
      <c r="D3" s="2" t="str">
        <f t="shared" si="0"/>
        <v>区分</v>
      </c>
      <c r="E3" s="1" t="str">
        <f t="shared" si="1"/>
        <v>必修</v>
      </c>
      <c r="F3" s="33">
        <v>0.22</v>
      </c>
    </row>
    <row r="4" spans="1:9">
      <c r="A4" s="1">
        <f t="shared" ref="A4:A21" si="2">A3+1</f>
        <v>3</v>
      </c>
      <c r="B4" s="4" t="s">
        <v>2</v>
      </c>
      <c r="C4" s="4">
        <v>1</v>
      </c>
      <c r="D4" s="2" t="str">
        <f t="shared" si="0"/>
        <v>区分</v>
      </c>
      <c r="E4" s="1" t="str">
        <f t="shared" si="1"/>
        <v>一般</v>
      </c>
      <c r="F4" s="33">
        <v>0.28000000000000003</v>
      </c>
    </row>
    <row r="5" spans="1:9">
      <c r="A5" s="1">
        <f t="shared" si="2"/>
        <v>4</v>
      </c>
      <c r="B5" s="4" t="s">
        <v>3</v>
      </c>
      <c r="C5" s="4">
        <v>1</v>
      </c>
      <c r="D5" s="2" t="str">
        <f t="shared" si="0"/>
        <v>区分</v>
      </c>
      <c r="E5" s="1" t="str">
        <f t="shared" si="1"/>
        <v>臨床一般</v>
      </c>
      <c r="F5" s="33">
        <v>0.22</v>
      </c>
      <c r="H5" t="s">
        <v>27</v>
      </c>
    </row>
    <row r="6" spans="1:9">
      <c r="A6" s="1">
        <f t="shared" si="2"/>
        <v>5</v>
      </c>
      <c r="B6" s="4" t="s">
        <v>4</v>
      </c>
      <c r="C6" s="4">
        <v>1</v>
      </c>
      <c r="D6" s="2" t="str">
        <f t="shared" si="0"/>
        <v>区分</v>
      </c>
      <c r="E6" s="1" t="str">
        <f t="shared" si="1"/>
        <v>臨実</v>
      </c>
      <c r="F6" s="33">
        <v>0.28000000000000003</v>
      </c>
      <c r="H6">
        <v>1</v>
      </c>
      <c r="I6" s="10"/>
    </row>
    <row r="7" spans="1:9">
      <c r="A7" s="1">
        <f t="shared" si="2"/>
        <v>6</v>
      </c>
      <c r="B7" s="4" t="s">
        <v>5</v>
      </c>
      <c r="C7" s="4"/>
      <c r="D7" s="2" t="str">
        <f t="shared" si="0"/>
        <v/>
      </c>
      <c r="E7" s="1" t="str">
        <f t="shared" si="1"/>
        <v/>
      </c>
      <c r="F7" s="33" t="str">
        <f t="shared" si="1"/>
        <v/>
      </c>
      <c r="H7">
        <f>H6+1</f>
        <v>2</v>
      </c>
      <c r="I7" s="10"/>
    </row>
    <row r="8" spans="1:9">
      <c r="A8" s="1">
        <f t="shared" si="2"/>
        <v>7</v>
      </c>
      <c r="B8" s="4" t="s">
        <v>6</v>
      </c>
      <c r="C8" s="4">
        <v>1</v>
      </c>
      <c r="D8" s="2" t="str">
        <f t="shared" si="0"/>
        <v>領域</v>
      </c>
      <c r="E8" s="1" t="str">
        <f t="shared" si="1"/>
        <v>必修</v>
      </c>
      <c r="F8" s="33">
        <v>0.2</v>
      </c>
      <c r="H8">
        <f t="shared" ref="H8:H10" si="3">H7+1</f>
        <v>3</v>
      </c>
      <c r="I8" s="10"/>
    </row>
    <row r="9" spans="1:9">
      <c r="A9" s="1">
        <f t="shared" si="2"/>
        <v>8</v>
      </c>
      <c r="B9" s="4" t="s">
        <v>7</v>
      </c>
      <c r="C9" s="4">
        <v>1</v>
      </c>
      <c r="D9" s="2" t="str">
        <f t="shared" si="0"/>
        <v>領域</v>
      </c>
      <c r="E9" s="1" t="str">
        <f t="shared" si="1"/>
        <v>A</v>
      </c>
      <c r="F9" s="33">
        <v>0.3</v>
      </c>
      <c r="H9">
        <f t="shared" si="3"/>
        <v>4</v>
      </c>
      <c r="I9" s="10"/>
    </row>
    <row r="10" spans="1:9">
      <c r="A10" s="1">
        <f t="shared" si="2"/>
        <v>9</v>
      </c>
      <c r="B10" s="4" t="s">
        <v>8</v>
      </c>
      <c r="C10" s="4">
        <v>1</v>
      </c>
      <c r="D10" s="2" t="str">
        <f t="shared" si="0"/>
        <v>領域</v>
      </c>
      <c r="E10" s="1" t="str">
        <f t="shared" si="1"/>
        <v>B</v>
      </c>
      <c r="F10" s="33">
        <v>0.2</v>
      </c>
      <c r="H10">
        <f t="shared" si="3"/>
        <v>5</v>
      </c>
      <c r="I10" s="10"/>
    </row>
    <row r="11" spans="1:9">
      <c r="A11" s="1">
        <f t="shared" si="2"/>
        <v>10</v>
      </c>
      <c r="B11" s="4" t="s">
        <v>9</v>
      </c>
      <c r="C11" s="4">
        <v>1</v>
      </c>
      <c r="D11" s="2" t="str">
        <f t="shared" si="0"/>
        <v>領域</v>
      </c>
      <c r="E11" s="1" t="str">
        <f t="shared" si="1"/>
        <v>C</v>
      </c>
      <c r="F11" s="33">
        <v>0.3</v>
      </c>
    </row>
    <row r="12" spans="1:9">
      <c r="A12" s="1">
        <f t="shared" si="2"/>
        <v>11</v>
      </c>
      <c r="B12" s="4"/>
      <c r="C12" s="4"/>
      <c r="D12" s="2" t="str">
        <f t="shared" si="0"/>
        <v/>
      </c>
      <c r="E12" s="1" t="str">
        <f t="shared" si="1"/>
        <v/>
      </c>
      <c r="F12" s="33" t="str">
        <f t="shared" si="1"/>
        <v/>
      </c>
    </row>
    <row r="13" spans="1:9">
      <c r="A13" s="1">
        <f t="shared" si="2"/>
        <v>12</v>
      </c>
      <c r="B13" s="4"/>
      <c r="C13" s="4"/>
      <c r="D13" s="2" t="str">
        <f t="shared" si="0"/>
        <v/>
      </c>
      <c r="E13" s="1" t="str">
        <f t="shared" si="1"/>
        <v/>
      </c>
      <c r="F13" s="33" t="str">
        <f t="shared" si="1"/>
        <v/>
      </c>
    </row>
    <row r="14" spans="1:9">
      <c r="A14" s="1">
        <f t="shared" si="2"/>
        <v>13</v>
      </c>
      <c r="B14" s="4"/>
      <c r="C14" s="4"/>
      <c r="D14" s="2" t="str">
        <f t="shared" si="0"/>
        <v/>
      </c>
      <c r="E14" s="1" t="str">
        <f t="shared" si="1"/>
        <v/>
      </c>
      <c r="F14" s="33" t="str">
        <f t="shared" si="1"/>
        <v/>
      </c>
    </row>
    <row r="15" spans="1:9">
      <c r="A15" s="1">
        <f t="shared" si="2"/>
        <v>14</v>
      </c>
      <c r="B15" s="4"/>
      <c r="C15" s="4"/>
      <c r="D15" s="2" t="str">
        <f t="shared" si="0"/>
        <v/>
      </c>
      <c r="E15" s="1" t="str">
        <f t="shared" si="1"/>
        <v/>
      </c>
      <c r="F15" s="33" t="str">
        <f t="shared" si="1"/>
        <v/>
      </c>
    </row>
    <row r="16" spans="1:9">
      <c r="A16" s="1">
        <f t="shared" si="2"/>
        <v>15</v>
      </c>
      <c r="B16" s="4"/>
      <c r="C16" s="4"/>
      <c r="D16" s="2" t="str">
        <f t="shared" si="0"/>
        <v/>
      </c>
      <c r="E16" s="1" t="str">
        <f t="shared" si="1"/>
        <v/>
      </c>
      <c r="F16" s="33" t="str">
        <f t="shared" si="1"/>
        <v/>
      </c>
    </row>
    <row r="17" spans="1:6">
      <c r="A17" s="1">
        <f t="shared" si="2"/>
        <v>16</v>
      </c>
      <c r="B17" s="4"/>
      <c r="C17" s="4"/>
      <c r="D17" s="2" t="str">
        <f t="shared" si="0"/>
        <v/>
      </c>
      <c r="E17" s="1" t="str">
        <f t="shared" si="1"/>
        <v/>
      </c>
      <c r="F17" s="33" t="str">
        <f t="shared" si="1"/>
        <v/>
      </c>
    </row>
    <row r="18" spans="1:6">
      <c r="A18" s="1">
        <f t="shared" si="2"/>
        <v>17</v>
      </c>
      <c r="B18" s="4"/>
      <c r="C18" s="4"/>
      <c r="D18" s="2" t="str">
        <f t="shared" si="0"/>
        <v/>
      </c>
      <c r="E18" s="1" t="str">
        <f t="shared" si="1"/>
        <v/>
      </c>
      <c r="F18" s="33" t="str">
        <f t="shared" si="1"/>
        <v/>
      </c>
    </row>
    <row r="19" spans="1:6">
      <c r="A19" s="1">
        <f t="shared" si="2"/>
        <v>18</v>
      </c>
      <c r="B19" s="4"/>
      <c r="C19" s="4"/>
      <c r="D19" s="2" t="str">
        <f t="shared" si="0"/>
        <v/>
      </c>
      <c r="E19" s="1" t="str">
        <f t="shared" si="1"/>
        <v/>
      </c>
      <c r="F19" s="33" t="str">
        <f t="shared" si="1"/>
        <v/>
      </c>
    </row>
    <row r="20" spans="1:6">
      <c r="A20" s="1">
        <f t="shared" si="2"/>
        <v>19</v>
      </c>
      <c r="B20" s="4"/>
      <c r="C20" s="4"/>
      <c r="D20" s="2" t="str">
        <f t="shared" si="0"/>
        <v/>
      </c>
      <c r="E20" s="1" t="str">
        <f t="shared" si="1"/>
        <v/>
      </c>
      <c r="F20" s="33" t="str">
        <f t="shared" si="1"/>
        <v/>
      </c>
    </row>
    <row r="21" spans="1:6" ht="18.600000000000001" thickBot="1">
      <c r="A21" s="1">
        <f t="shared" si="2"/>
        <v>20</v>
      </c>
      <c r="B21" s="5"/>
      <c r="C21" s="5"/>
      <c r="D21" s="2" t="str">
        <f t="shared" si="0"/>
        <v/>
      </c>
      <c r="E21" s="1" t="str">
        <f t="shared" si="1"/>
        <v/>
      </c>
      <c r="F21" s="34" t="str">
        <f t="shared" si="1"/>
        <v/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FileOpen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10</xdr:col>
                <xdr:colOff>45720</xdr:colOff>
                <xdr:row>3</xdr:row>
                <xdr:rowOff>30480</xdr:rowOff>
              </to>
            </anchor>
          </controlPr>
        </control>
      </mc:Choice>
      <mc:Fallback>
        <control shapeId="2052" r:id="rId4" name="cmdFileOpen"/>
      </mc:Fallback>
    </mc:AlternateContent>
    <mc:AlternateContent xmlns:mc="http://schemas.openxmlformats.org/markup-compatibility/2006">
      <mc:Choice Requires="x14">
        <control shapeId="2050" r:id="rId6" name="cmdExecute">
          <controlPr defaultSize="0" autoLine="0" r:id="rId7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10</xdr:col>
                <xdr:colOff>53340</xdr:colOff>
                <xdr:row>18</xdr:row>
                <xdr:rowOff>22860</xdr:rowOff>
              </to>
            </anchor>
          </controlPr>
        </control>
      </mc:Choice>
      <mc:Fallback>
        <control shapeId="2050" r:id="rId6" name="cmd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9C2-177E-453D-A7D3-05747A419E0E}">
  <sheetPr codeName="Sheet11">
    <pageSetUpPr fitToPage="1"/>
  </sheetPr>
  <dimension ref="A2:X96"/>
  <sheetViews>
    <sheetView zoomScale="70" zoomScaleNormal="70" workbookViewId="0"/>
  </sheetViews>
  <sheetFormatPr defaultRowHeight="18"/>
  <cols>
    <col min="1" max="4" width="10.69921875" customWidth="1"/>
    <col min="5" max="5" width="5.59765625" style="24" customWidth="1"/>
    <col min="6" max="9" width="10.69921875" customWidth="1"/>
    <col min="10" max="10" width="5.59765625" style="24" customWidth="1"/>
    <col min="11" max="14" width="10.69921875" customWidth="1"/>
    <col min="15" max="15" width="5.59765625" style="24" customWidth="1"/>
    <col min="16" max="19" width="10.69921875" customWidth="1"/>
    <col min="20" max="20" width="5.59765625" style="24" customWidth="1"/>
    <col min="21" max="24" width="10.69921875" customWidth="1"/>
  </cols>
  <sheetData>
    <row r="2" spans="1:24" ht="18.600000000000001" thickBot="1">
      <c r="A2" s="10" t="s">
        <v>19</v>
      </c>
    </row>
    <row r="3" spans="1:24">
      <c r="A3" s="15" t="s">
        <v>21</v>
      </c>
      <c r="B3" s="16" t="s">
        <v>24</v>
      </c>
      <c r="C3" s="16" t="s">
        <v>15</v>
      </c>
      <c r="D3" s="17" t="s">
        <v>20</v>
      </c>
      <c r="E3" s="25"/>
      <c r="F3" s="15" t="s">
        <v>22</v>
      </c>
      <c r="G3" s="16" t="s">
        <v>24</v>
      </c>
      <c r="H3" s="16" t="s">
        <v>15</v>
      </c>
      <c r="I3" s="17" t="s">
        <v>20</v>
      </c>
      <c r="J3" s="25"/>
      <c r="K3" s="15" t="s">
        <v>23</v>
      </c>
      <c r="L3" s="16" t="s">
        <v>24</v>
      </c>
      <c r="M3" s="16" t="s">
        <v>15</v>
      </c>
      <c r="N3" s="17" t="s">
        <v>20</v>
      </c>
      <c r="O3" s="25"/>
      <c r="P3" s="15" t="s">
        <v>25</v>
      </c>
      <c r="Q3" s="16" t="s">
        <v>24</v>
      </c>
      <c r="R3" s="16" t="s">
        <v>15</v>
      </c>
      <c r="S3" s="17" t="s">
        <v>20</v>
      </c>
      <c r="T3" s="25"/>
      <c r="U3" s="15" t="s">
        <v>26</v>
      </c>
      <c r="V3" s="16" t="s">
        <v>24</v>
      </c>
      <c r="W3" s="16" t="s">
        <v>15</v>
      </c>
      <c r="X3" s="17" t="s">
        <v>20</v>
      </c>
    </row>
    <row r="4" spans="1:24">
      <c r="A4" s="18" t="s">
        <v>48</v>
      </c>
      <c r="B4" s="8">
        <v>1</v>
      </c>
      <c r="C4" s="12">
        <f>B4/B$16</f>
        <v>0.1</v>
      </c>
      <c r="D4" s="22"/>
      <c r="E4" s="25"/>
      <c r="F4" s="18" t="s">
        <v>48</v>
      </c>
      <c r="G4" s="8"/>
      <c r="H4" s="12">
        <f>G4/G$16</f>
        <v>0</v>
      </c>
      <c r="I4" s="22"/>
      <c r="J4" s="25"/>
      <c r="K4" s="18" t="s">
        <v>48</v>
      </c>
      <c r="L4" s="8"/>
      <c r="M4" s="12">
        <f>L4/L$16</f>
        <v>0</v>
      </c>
      <c r="N4" s="22"/>
      <c r="O4" s="25"/>
      <c r="P4" s="18" t="s">
        <v>48</v>
      </c>
      <c r="Q4" s="8"/>
      <c r="R4" s="12">
        <f>Q4/Q$16</f>
        <v>0</v>
      </c>
      <c r="S4" s="22"/>
      <c r="T4" s="25"/>
      <c r="U4" s="18" t="s">
        <v>48</v>
      </c>
      <c r="V4" s="8"/>
      <c r="W4" s="12">
        <f>V4/V$16</f>
        <v>0</v>
      </c>
      <c r="X4" s="22"/>
    </row>
    <row r="5" spans="1:24">
      <c r="A5" s="18" t="s">
        <v>49</v>
      </c>
      <c r="B5" s="8">
        <v>2</v>
      </c>
      <c r="C5" s="12">
        <f>B5/B$16</f>
        <v>0.2</v>
      </c>
      <c r="D5" s="22"/>
      <c r="E5" s="25"/>
      <c r="F5" s="18" t="s">
        <v>49</v>
      </c>
      <c r="G5" s="8"/>
      <c r="H5" s="12">
        <f t="shared" ref="H5:H15" si="0">G5/G$16</f>
        <v>0</v>
      </c>
      <c r="I5" s="22"/>
      <c r="J5" s="25"/>
      <c r="K5" s="18" t="s">
        <v>49</v>
      </c>
      <c r="L5" s="8"/>
      <c r="M5" s="12">
        <f t="shared" ref="M5:M15" si="1">L5/L$16</f>
        <v>0</v>
      </c>
      <c r="N5" s="22"/>
      <c r="O5" s="25"/>
      <c r="P5" s="18" t="s">
        <v>49</v>
      </c>
      <c r="Q5" s="8"/>
      <c r="R5" s="12">
        <f t="shared" ref="R5:R15" si="2">Q5/Q$16</f>
        <v>0</v>
      </c>
      <c r="S5" s="22"/>
      <c r="T5" s="25"/>
      <c r="U5" s="18" t="s">
        <v>49</v>
      </c>
      <c r="V5" s="8"/>
      <c r="W5" s="12">
        <f t="shared" ref="W5:W15" si="3">V5/V$16</f>
        <v>0</v>
      </c>
      <c r="X5" s="22"/>
    </row>
    <row r="6" spans="1:24">
      <c r="A6" s="18" t="s">
        <v>50</v>
      </c>
      <c r="B6" s="8"/>
      <c r="C6" s="12">
        <f>B6/B$16</f>
        <v>0</v>
      </c>
      <c r="D6" s="22"/>
      <c r="E6" s="25"/>
      <c r="F6" s="18" t="s">
        <v>50</v>
      </c>
      <c r="G6" s="8"/>
      <c r="H6" s="12">
        <f t="shared" si="0"/>
        <v>0</v>
      </c>
      <c r="I6" s="22"/>
      <c r="J6" s="25"/>
      <c r="K6" s="18" t="s">
        <v>50</v>
      </c>
      <c r="L6" s="8"/>
      <c r="M6" s="12">
        <f t="shared" si="1"/>
        <v>0</v>
      </c>
      <c r="N6" s="22"/>
      <c r="O6" s="25"/>
      <c r="P6" s="18" t="s">
        <v>50</v>
      </c>
      <c r="Q6" s="8"/>
      <c r="R6" s="12">
        <f t="shared" si="2"/>
        <v>0</v>
      </c>
      <c r="S6" s="22"/>
      <c r="T6" s="25"/>
      <c r="U6" s="18" t="s">
        <v>50</v>
      </c>
      <c r="V6" s="8"/>
      <c r="W6" s="12">
        <f t="shared" si="3"/>
        <v>0</v>
      </c>
      <c r="X6" s="22"/>
    </row>
    <row r="7" spans="1:24">
      <c r="A7" s="18" t="s">
        <v>51</v>
      </c>
      <c r="B7" s="8"/>
      <c r="C7" s="12">
        <f t="shared" ref="C7:C15" si="4">B7/B$16</f>
        <v>0</v>
      </c>
      <c r="D7" s="22"/>
      <c r="E7" s="25"/>
      <c r="F7" s="18" t="s">
        <v>51</v>
      </c>
      <c r="G7" s="8"/>
      <c r="H7" s="12">
        <f t="shared" si="0"/>
        <v>0</v>
      </c>
      <c r="I7" s="22"/>
      <c r="J7" s="25"/>
      <c r="K7" s="18" t="s">
        <v>51</v>
      </c>
      <c r="L7" s="8"/>
      <c r="M7" s="12">
        <f t="shared" si="1"/>
        <v>0</v>
      </c>
      <c r="N7" s="22"/>
      <c r="O7" s="25"/>
      <c r="P7" s="18" t="s">
        <v>51</v>
      </c>
      <c r="Q7" s="8"/>
      <c r="R7" s="12">
        <f t="shared" si="2"/>
        <v>0</v>
      </c>
      <c r="S7" s="22"/>
      <c r="T7" s="25"/>
      <c r="U7" s="18" t="s">
        <v>51</v>
      </c>
      <c r="V7" s="8"/>
      <c r="W7" s="12">
        <f t="shared" si="3"/>
        <v>0</v>
      </c>
      <c r="X7" s="22"/>
    </row>
    <row r="8" spans="1:24">
      <c r="A8" s="18" t="s">
        <v>52</v>
      </c>
      <c r="B8" s="8"/>
      <c r="C8" s="12">
        <f t="shared" si="4"/>
        <v>0</v>
      </c>
      <c r="D8" s="22"/>
      <c r="E8" s="25"/>
      <c r="F8" s="18" t="s">
        <v>52</v>
      </c>
      <c r="G8" s="8"/>
      <c r="H8" s="12">
        <f t="shared" si="0"/>
        <v>0</v>
      </c>
      <c r="I8" s="22"/>
      <c r="J8" s="25"/>
      <c r="K8" s="18" t="s">
        <v>52</v>
      </c>
      <c r="L8" s="8"/>
      <c r="M8" s="12">
        <f t="shared" si="1"/>
        <v>0</v>
      </c>
      <c r="N8" s="22"/>
      <c r="O8" s="25"/>
      <c r="P8" s="18" t="s">
        <v>52</v>
      </c>
      <c r="Q8" s="8"/>
      <c r="R8" s="12">
        <f t="shared" si="2"/>
        <v>0</v>
      </c>
      <c r="S8" s="22"/>
      <c r="T8" s="25"/>
      <c r="U8" s="18" t="s">
        <v>52</v>
      </c>
      <c r="V8" s="8"/>
      <c r="W8" s="12">
        <f t="shared" si="3"/>
        <v>0</v>
      </c>
      <c r="X8" s="22"/>
    </row>
    <row r="9" spans="1:24">
      <c r="A9" s="18" t="s">
        <v>53</v>
      </c>
      <c r="B9" s="8"/>
      <c r="C9" s="12">
        <f t="shared" si="4"/>
        <v>0</v>
      </c>
      <c r="D9" s="22"/>
      <c r="E9" s="25"/>
      <c r="F9" s="18" t="s">
        <v>53</v>
      </c>
      <c r="G9" s="8"/>
      <c r="H9" s="12">
        <f t="shared" si="0"/>
        <v>0</v>
      </c>
      <c r="I9" s="22"/>
      <c r="J9" s="25"/>
      <c r="K9" s="18" t="s">
        <v>53</v>
      </c>
      <c r="L9" s="8"/>
      <c r="M9" s="12">
        <f t="shared" si="1"/>
        <v>0</v>
      </c>
      <c r="N9" s="22"/>
      <c r="O9" s="25"/>
      <c r="P9" s="18" t="s">
        <v>53</v>
      </c>
      <c r="Q9" s="8"/>
      <c r="R9" s="12">
        <f t="shared" si="2"/>
        <v>0</v>
      </c>
      <c r="S9" s="22"/>
      <c r="T9" s="25"/>
      <c r="U9" s="18" t="s">
        <v>53</v>
      </c>
      <c r="V9" s="8"/>
      <c r="W9" s="12">
        <f t="shared" si="3"/>
        <v>0</v>
      </c>
      <c r="X9" s="22"/>
    </row>
    <row r="10" spans="1:24">
      <c r="A10" s="18" t="s">
        <v>54</v>
      </c>
      <c r="B10" s="8"/>
      <c r="C10" s="12">
        <f t="shared" si="4"/>
        <v>0</v>
      </c>
      <c r="D10" s="22"/>
      <c r="E10" s="25"/>
      <c r="F10" s="18" t="s">
        <v>54</v>
      </c>
      <c r="G10" s="8"/>
      <c r="H10" s="12">
        <f t="shared" si="0"/>
        <v>0</v>
      </c>
      <c r="I10" s="22"/>
      <c r="J10" s="25"/>
      <c r="K10" s="18" t="s">
        <v>54</v>
      </c>
      <c r="L10" s="8"/>
      <c r="M10" s="12">
        <f t="shared" si="1"/>
        <v>0</v>
      </c>
      <c r="N10" s="22"/>
      <c r="O10" s="25"/>
      <c r="P10" s="18" t="s">
        <v>54</v>
      </c>
      <c r="Q10" s="8"/>
      <c r="R10" s="12">
        <f t="shared" si="2"/>
        <v>0</v>
      </c>
      <c r="S10" s="22"/>
      <c r="T10" s="25"/>
      <c r="U10" s="18" t="s">
        <v>54</v>
      </c>
      <c r="V10" s="8"/>
      <c r="W10" s="12">
        <f t="shared" si="3"/>
        <v>0</v>
      </c>
      <c r="X10" s="22"/>
    </row>
    <row r="11" spans="1:24">
      <c r="A11" s="18" t="s">
        <v>55</v>
      </c>
      <c r="B11" s="8"/>
      <c r="C11" s="12">
        <f t="shared" si="4"/>
        <v>0</v>
      </c>
      <c r="D11" s="22"/>
      <c r="E11" s="25"/>
      <c r="F11" s="18" t="s">
        <v>55</v>
      </c>
      <c r="G11" s="8"/>
      <c r="H11" s="12">
        <f t="shared" si="0"/>
        <v>0</v>
      </c>
      <c r="I11" s="22"/>
      <c r="J11" s="25"/>
      <c r="K11" s="18" t="s">
        <v>55</v>
      </c>
      <c r="L11" s="8"/>
      <c r="M11" s="12">
        <f t="shared" si="1"/>
        <v>0</v>
      </c>
      <c r="N11" s="22"/>
      <c r="O11" s="25"/>
      <c r="P11" s="18" t="s">
        <v>55</v>
      </c>
      <c r="Q11" s="8"/>
      <c r="R11" s="12">
        <f t="shared" si="2"/>
        <v>0</v>
      </c>
      <c r="S11" s="22"/>
      <c r="T11" s="25"/>
      <c r="U11" s="18" t="s">
        <v>55</v>
      </c>
      <c r="V11" s="8"/>
      <c r="W11" s="12">
        <f t="shared" si="3"/>
        <v>0</v>
      </c>
      <c r="X11" s="22"/>
    </row>
    <row r="12" spans="1:24">
      <c r="A12" s="18" t="s">
        <v>56</v>
      </c>
      <c r="B12" s="8"/>
      <c r="C12" s="12">
        <f t="shared" si="4"/>
        <v>0</v>
      </c>
      <c r="D12" s="22"/>
      <c r="E12" s="25"/>
      <c r="F12" s="18" t="s">
        <v>56</v>
      </c>
      <c r="G12" s="8"/>
      <c r="H12" s="12">
        <f t="shared" si="0"/>
        <v>0</v>
      </c>
      <c r="I12" s="22"/>
      <c r="J12" s="25"/>
      <c r="K12" s="18" t="s">
        <v>56</v>
      </c>
      <c r="L12" s="8"/>
      <c r="M12" s="12">
        <f t="shared" si="1"/>
        <v>0</v>
      </c>
      <c r="N12" s="22"/>
      <c r="O12" s="25"/>
      <c r="P12" s="18" t="s">
        <v>56</v>
      </c>
      <c r="Q12" s="8"/>
      <c r="R12" s="12">
        <f t="shared" si="2"/>
        <v>0</v>
      </c>
      <c r="S12" s="22"/>
      <c r="T12" s="25"/>
      <c r="U12" s="18" t="s">
        <v>56</v>
      </c>
      <c r="V12" s="8"/>
      <c r="W12" s="12">
        <f t="shared" si="3"/>
        <v>0</v>
      </c>
      <c r="X12" s="22"/>
    </row>
    <row r="13" spans="1:24" ht="18.600000000000001" thickBot="1">
      <c r="A13" s="19" t="s">
        <v>57</v>
      </c>
      <c r="B13" s="20"/>
      <c r="C13" s="21">
        <f t="shared" si="4"/>
        <v>0</v>
      </c>
      <c r="D13" s="23"/>
      <c r="E13" s="25"/>
      <c r="F13" s="19" t="s">
        <v>57</v>
      </c>
      <c r="G13" s="20"/>
      <c r="H13" s="21">
        <f t="shared" si="0"/>
        <v>0</v>
      </c>
      <c r="I13" s="23"/>
      <c r="J13" s="25"/>
      <c r="K13" s="19" t="s">
        <v>57</v>
      </c>
      <c r="L13" s="20"/>
      <c r="M13" s="21">
        <f t="shared" si="1"/>
        <v>0</v>
      </c>
      <c r="N13" s="23"/>
      <c r="O13" s="25"/>
      <c r="P13" s="19" t="s">
        <v>57</v>
      </c>
      <c r="Q13" s="20"/>
      <c r="R13" s="21">
        <f t="shared" si="2"/>
        <v>0</v>
      </c>
      <c r="S13" s="23"/>
      <c r="T13" s="25"/>
      <c r="U13" s="19" t="s">
        <v>57</v>
      </c>
      <c r="V13" s="20"/>
      <c r="W13" s="21">
        <f t="shared" si="3"/>
        <v>0</v>
      </c>
      <c r="X13" s="23"/>
    </row>
    <row r="14" spans="1:24">
      <c r="A14" s="13" t="s">
        <v>16</v>
      </c>
      <c r="B14" s="14">
        <f>B16-B15</f>
        <v>7</v>
      </c>
      <c r="C14" s="12">
        <f t="shared" si="4"/>
        <v>0.7</v>
      </c>
      <c r="D14" s="14"/>
      <c r="E14" s="26"/>
      <c r="F14" s="13" t="s">
        <v>16</v>
      </c>
      <c r="G14" s="14">
        <f>G16-G15</f>
        <v>10</v>
      </c>
      <c r="H14" s="12">
        <f t="shared" si="0"/>
        <v>1</v>
      </c>
      <c r="I14" s="14"/>
      <c r="J14" s="27"/>
      <c r="K14" s="16" t="s">
        <v>16</v>
      </c>
      <c r="L14" s="14">
        <f>L16-L15</f>
        <v>10</v>
      </c>
      <c r="M14" s="12">
        <f t="shared" si="1"/>
        <v>1</v>
      </c>
      <c r="N14" s="14"/>
      <c r="O14" s="26"/>
      <c r="P14" s="13" t="s">
        <v>16</v>
      </c>
      <c r="Q14" s="14">
        <f>Q16-Q15</f>
        <v>10</v>
      </c>
      <c r="R14" s="12">
        <f t="shared" si="2"/>
        <v>1</v>
      </c>
      <c r="S14" s="14"/>
      <c r="T14" s="26"/>
      <c r="U14" s="13" t="s">
        <v>16</v>
      </c>
      <c r="V14" s="14">
        <f>V16-V15</f>
        <v>10</v>
      </c>
      <c r="W14" s="12">
        <f t="shared" si="3"/>
        <v>1</v>
      </c>
      <c r="X14" s="14"/>
    </row>
    <row r="15" spans="1:24">
      <c r="A15" s="7" t="s">
        <v>17</v>
      </c>
      <c r="B15" s="8">
        <f>SUM(B4:B13)</f>
        <v>3</v>
      </c>
      <c r="C15" s="12">
        <f t="shared" si="4"/>
        <v>0.3</v>
      </c>
      <c r="D15" s="8"/>
      <c r="E15" s="26"/>
      <c r="F15" s="7" t="s">
        <v>17</v>
      </c>
      <c r="G15" s="8">
        <f>SUM(G4:G13)</f>
        <v>0</v>
      </c>
      <c r="H15" s="12">
        <f t="shared" si="0"/>
        <v>0</v>
      </c>
      <c r="I15" s="8"/>
      <c r="J15" s="27"/>
      <c r="K15" s="7" t="s">
        <v>17</v>
      </c>
      <c r="L15" s="8">
        <f>SUM(L4:L13)</f>
        <v>0</v>
      </c>
      <c r="M15" s="12">
        <f t="shared" si="1"/>
        <v>0</v>
      </c>
      <c r="N15" s="8"/>
      <c r="O15" s="26"/>
      <c r="P15" s="7" t="s">
        <v>17</v>
      </c>
      <c r="Q15" s="8">
        <f>SUM(Q4:Q13)</f>
        <v>0</v>
      </c>
      <c r="R15" s="12">
        <f t="shared" si="2"/>
        <v>0</v>
      </c>
      <c r="S15" s="8"/>
      <c r="T15" s="26"/>
      <c r="U15" s="7" t="s">
        <v>17</v>
      </c>
      <c r="V15" s="8">
        <f>SUM(V4:V13)</f>
        <v>0</v>
      </c>
      <c r="W15" s="12">
        <f t="shared" si="3"/>
        <v>0</v>
      </c>
      <c r="X15" s="8"/>
    </row>
    <row r="16" spans="1:24">
      <c r="A16" s="7" t="s">
        <v>18</v>
      </c>
      <c r="B16" s="29">
        <v>10</v>
      </c>
      <c r="C16" s="12" t="s">
        <v>47</v>
      </c>
      <c r="D16" s="8">
        <v>90</v>
      </c>
      <c r="E16" s="26"/>
      <c r="F16" s="7" t="s">
        <v>18</v>
      </c>
      <c r="G16" s="8">
        <v>10</v>
      </c>
      <c r="H16" s="12" t="s">
        <v>47</v>
      </c>
      <c r="I16" s="8">
        <v>90</v>
      </c>
      <c r="J16" s="27"/>
      <c r="K16" s="7" t="s">
        <v>18</v>
      </c>
      <c r="L16" s="8">
        <v>10</v>
      </c>
      <c r="M16" s="12" t="s">
        <v>47</v>
      </c>
      <c r="N16" s="8">
        <v>90</v>
      </c>
      <c r="O16" s="26"/>
      <c r="P16" s="7" t="s">
        <v>18</v>
      </c>
      <c r="Q16" s="8">
        <v>10</v>
      </c>
      <c r="R16" s="12" t="s">
        <v>47</v>
      </c>
      <c r="S16" s="8">
        <v>90</v>
      </c>
      <c r="T16" s="26"/>
      <c r="U16" s="7" t="s">
        <v>18</v>
      </c>
      <c r="V16" s="8">
        <v>10</v>
      </c>
      <c r="W16" s="12" t="s">
        <v>47</v>
      </c>
      <c r="X16" s="8">
        <v>90</v>
      </c>
    </row>
    <row r="18" spans="1:24" ht="18.600000000000001" thickBot="1">
      <c r="A18" s="10" t="s">
        <v>28</v>
      </c>
    </row>
    <row r="19" spans="1:24">
      <c r="A19" s="15" t="s">
        <v>21</v>
      </c>
      <c r="B19" s="16" t="s">
        <v>24</v>
      </c>
      <c r="C19" s="16" t="s">
        <v>15</v>
      </c>
      <c r="D19" s="17" t="s">
        <v>20</v>
      </c>
      <c r="E19" s="25"/>
      <c r="F19" s="15" t="s">
        <v>22</v>
      </c>
      <c r="G19" s="16" t="s">
        <v>24</v>
      </c>
      <c r="H19" s="16" t="s">
        <v>15</v>
      </c>
      <c r="I19" s="17" t="s">
        <v>20</v>
      </c>
      <c r="J19" s="25"/>
      <c r="K19" s="15" t="s">
        <v>23</v>
      </c>
      <c r="L19" s="16" t="s">
        <v>24</v>
      </c>
      <c r="M19" s="16" t="s">
        <v>15</v>
      </c>
      <c r="N19" s="17" t="s">
        <v>20</v>
      </c>
      <c r="O19" s="25"/>
      <c r="P19" s="15" t="s">
        <v>25</v>
      </c>
      <c r="Q19" s="16" t="s">
        <v>24</v>
      </c>
      <c r="R19" s="16" t="s">
        <v>15</v>
      </c>
      <c r="S19" s="17" t="s">
        <v>20</v>
      </c>
      <c r="T19" s="25"/>
      <c r="U19" s="15" t="s">
        <v>26</v>
      </c>
      <c r="V19" s="16" t="s">
        <v>24</v>
      </c>
      <c r="W19" s="16" t="s">
        <v>15</v>
      </c>
      <c r="X19" s="17" t="s">
        <v>20</v>
      </c>
    </row>
    <row r="20" spans="1:24">
      <c r="A20" s="18" t="s">
        <v>48</v>
      </c>
      <c r="B20" s="8">
        <v>3</v>
      </c>
      <c r="C20" s="12">
        <f>B20/B$32</f>
        <v>0.27272727272727271</v>
      </c>
      <c r="D20" s="22"/>
      <c r="E20" s="25"/>
      <c r="F20" s="18" t="s">
        <v>48</v>
      </c>
      <c r="G20" s="8"/>
      <c r="H20" s="12">
        <f>G20/G$32</f>
        <v>0</v>
      </c>
      <c r="I20" s="22"/>
      <c r="J20" s="25"/>
      <c r="K20" s="18" t="s">
        <v>48</v>
      </c>
      <c r="L20" s="8"/>
      <c r="M20" s="12">
        <f>L20/L$32</f>
        <v>0</v>
      </c>
      <c r="N20" s="22"/>
      <c r="O20" s="25"/>
      <c r="P20" s="18" t="s">
        <v>48</v>
      </c>
      <c r="Q20" s="8"/>
      <c r="R20" s="12">
        <f>Q20/Q$32</f>
        <v>0</v>
      </c>
      <c r="S20" s="22"/>
      <c r="T20" s="25"/>
      <c r="U20" s="18" t="s">
        <v>48</v>
      </c>
      <c r="V20" s="8"/>
      <c r="W20" s="12">
        <f>V20/V$32</f>
        <v>0</v>
      </c>
      <c r="X20" s="22"/>
    </row>
    <row r="21" spans="1:24">
      <c r="A21" s="18" t="s">
        <v>49</v>
      </c>
      <c r="B21" s="8">
        <v>4</v>
      </c>
      <c r="C21" s="12">
        <f>B21/B$32</f>
        <v>0.36363636363636365</v>
      </c>
      <c r="D21" s="22"/>
      <c r="E21" s="25"/>
      <c r="F21" s="18" t="s">
        <v>49</v>
      </c>
      <c r="G21" s="8"/>
      <c r="H21" s="12">
        <f>G21/G$32</f>
        <v>0</v>
      </c>
      <c r="I21" s="22"/>
      <c r="J21" s="25"/>
      <c r="K21" s="18" t="s">
        <v>49</v>
      </c>
      <c r="L21" s="8"/>
      <c r="M21" s="12">
        <f>L21/L$32</f>
        <v>0</v>
      </c>
      <c r="N21" s="22"/>
      <c r="O21" s="25"/>
      <c r="P21" s="18" t="s">
        <v>49</v>
      </c>
      <c r="Q21" s="8"/>
      <c r="R21" s="12">
        <f>Q21/Q$32</f>
        <v>0</v>
      </c>
      <c r="S21" s="22"/>
      <c r="T21" s="25"/>
      <c r="U21" s="18" t="s">
        <v>49</v>
      </c>
      <c r="V21" s="8"/>
      <c r="W21" s="12">
        <f>V21/V$32</f>
        <v>0</v>
      </c>
      <c r="X21" s="22"/>
    </row>
    <row r="22" spans="1:24">
      <c r="A22" s="18" t="s">
        <v>50</v>
      </c>
      <c r="B22" s="8"/>
      <c r="C22" s="12">
        <f t="shared" ref="C22:C31" si="5">B22/B$32</f>
        <v>0</v>
      </c>
      <c r="D22" s="22"/>
      <c r="E22" s="25"/>
      <c r="F22" s="18" t="s">
        <v>50</v>
      </c>
      <c r="G22" s="8"/>
      <c r="H22" s="12">
        <f t="shared" ref="H22:H31" si="6">G22/G$32</f>
        <v>0</v>
      </c>
      <c r="I22" s="22"/>
      <c r="J22" s="25"/>
      <c r="K22" s="18" t="s">
        <v>50</v>
      </c>
      <c r="L22" s="8"/>
      <c r="M22" s="12">
        <f t="shared" ref="M22:M31" si="7">L22/L$32</f>
        <v>0</v>
      </c>
      <c r="N22" s="22"/>
      <c r="O22" s="25"/>
      <c r="P22" s="18" t="s">
        <v>50</v>
      </c>
      <c r="Q22" s="8"/>
      <c r="R22" s="12">
        <f t="shared" ref="R22:R31" si="8">Q22/Q$32</f>
        <v>0</v>
      </c>
      <c r="S22" s="22"/>
      <c r="T22" s="25"/>
      <c r="U22" s="18" t="s">
        <v>50</v>
      </c>
      <c r="V22" s="8"/>
      <c r="W22" s="12">
        <f t="shared" ref="W22:W31" si="9">V22/V$32</f>
        <v>0</v>
      </c>
      <c r="X22" s="22"/>
    </row>
    <row r="23" spans="1:24">
      <c r="A23" s="18" t="s">
        <v>51</v>
      </c>
      <c r="B23" s="8"/>
      <c r="C23" s="12">
        <f t="shared" si="5"/>
        <v>0</v>
      </c>
      <c r="D23" s="22"/>
      <c r="E23" s="25"/>
      <c r="F23" s="18" t="s">
        <v>51</v>
      </c>
      <c r="G23" s="8"/>
      <c r="H23" s="12">
        <f t="shared" si="6"/>
        <v>0</v>
      </c>
      <c r="I23" s="22"/>
      <c r="J23" s="25"/>
      <c r="K23" s="18" t="s">
        <v>51</v>
      </c>
      <c r="L23" s="8"/>
      <c r="M23" s="12">
        <f t="shared" si="7"/>
        <v>0</v>
      </c>
      <c r="N23" s="22"/>
      <c r="O23" s="25"/>
      <c r="P23" s="18" t="s">
        <v>51</v>
      </c>
      <c r="Q23" s="8"/>
      <c r="R23" s="12">
        <f t="shared" si="8"/>
        <v>0</v>
      </c>
      <c r="S23" s="22"/>
      <c r="T23" s="25"/>
      <c r="U23" s="18" t="s">
        <v>51</v>
      </c>
      <c r="V23" s="8"/>
      <c r="W23" s="12">
        <f t="shared" si="9"/>
        <v>0</v>
      </c>
      <c r="X23" s="22"/>
    </row>
    <row r="24" spans="1:24">
      <c r="A24" s="18" t="s">
        <v>52</v>
      </c>
      <c r="B24" s="8"/>
      <c r="C24" s="12">
        <f t="shared" si="5"/>
        <v>0</v>
      </c>
      <c r="D24" s="22"/>
      <c r="E24" s="25"/>
      <c r="F24" s="18" t="s">
        <v>52</v>
      </c>
      <c r="G24" s="8"/>
      <c r="H24" s="12">
        <f t="shared" si="6"/>
        <v>0</v>
      </c>
      <c r="I24" s="22"/>
      <c r="J24" s="25"/>
      <c r="K24" s="18" t="s">
        <v>52</v>
      </c>
      <c r="L24" s="8"/>
      <c r="M24" s="12">
        <f t="shared" si="7"/>
        <v>0</v>
      </c>
      <c r="N24" s="22"/>
      <c r="O24" s="25"/>
      <c r="P24" s="18" t="s">
        <v>52</v>
      </c>
      <c r="Q24" s="8"/>
      <c r="R24" s="12">
        <f t="shared" si="8"/>
        <v>0</v>
      </c>
      <c r="S24" s="22"/>
      <c r="T24" s="25"/>
      <c r="U24" s="18" t="s">
        <v>52</v>
      </c>
      <c r="V24" s="8"/>
      <c r="W24" s="12">
        <f t="shared" si="9"/>
        <v>0</v>
      </c>
      <c r="X24" s="22"/>
    </row>
    <row r="25" spans="1:24">
      <c r="A25" s="18" t="s">
        <v>53</v>
      </c>
      <c r="B25" s="8"/>
      <c r="C25" s="12">
        <f t="shared" si="5"/>
        <v>0</v>
      </c>
      <c r="D25" s="22"/>
      <c r="E25" s="25"/>
      <c r="F25" s="18" t="s">
        <v>53</v>
      </c>
      <c r="G25" s="8"/>
      <c r="H25" s="12">
        <f t="shared" si="6"/>
        <v>0</v>
      </c>
      <c r="I25" s="22"/>
      <c r="J25" s="25"/>
      <c r="K25" s="18" t="s">
        <v>53</v>
      </c>
      <c r="L25" s="8"/>
      <c r="M25" s="12">
        <f t="shared" si="7"/>
        <v>0</v>
      </c>
      <c r="N25" s="22"/>
      <c r="O25" s="25"/>
      <c r="P25" s="18" t="s">
        <v>53</v>
      </c>
      <c r="Q25" s="8"/>
      <c r="R25" s="12">
        <f t="shared" si="8"/>
        <v>0</v>
      </c>
      <c r="S25" s="22"/>
      <c r="T25" s="25"/>
      <c r="U25" s="18" t="s">
        <v>53</v>
      </c>
      <c r="V25" s="8"/>
      <c r="W25" s="12">
        <f t="shared" si="9"/>
        <v>0</v>
      </c>
      <c r="X25" s="22"/>
    </row>
    <row r="26" spans="1:24">
      <c r="A26" s="18" t="s">
        <v>54</v>
      </c>
      <c r="B26" s="8"/>
      <c r="C26" s="12">
        <f t="shared" si="5"/>
        <v>0</v>
      </c>
      <c r="D26" s="22"/>
      <c r="E26" s="25"/>
      <c r="F26" s="18" t="s">
        <v>54</v>
      </c>
      <c r="G26" s="8"/>
      <c r="H26" s="12">
        <f t="shared" si="6"/>
        <v>0</v>
      </c>
      <c r="I26" s="22"/>
      <c r="J26" s="25"/>
      <c r="K26" s="18" t="s">
        <v>54</v>
      </c>
      <c r="L26" s="8"/>
      <c r="M26" s="12">
        <f t="shared" si="7"/>
        <v>0</v>
      </c>
      <c r="N26" s="22"/>
      <c r="O26" s="25"/>
      <c r="P26" s="18" t="s">
        <v>54</v>
      </c>
      <c r="Q26" s="8"/>
      <c r="R26" s="12">
        <f t="shared" si="8"/>
        <v>0</v>
      </c>
      <c r="S26" s="22"/>
      <c r="T26" s="25"/>
      <c r="U26" s="18" t="s">
        <v>54</v>
      </c>
      <c r="V26" s="8"/>
      <c r="W26" s="12">
        <f t="shared" si="9"/>
        <v>0</v>
      </c>
      <c r="X26" s="22"/>
    </row>
    <row r="27" spans="1:24">
      <c r="A27" s="18" t="s">
        <v>55</v>
      </c>
      <c r="B27" s="8"/>
      <c r="C27" s="12">
        <f t="shared" si="5"/>
        <v>0</v>
      </c>
      <c r="D27" s="22"/>
      <c r="E27" s="25"/>
      <c r="F27" s="18" t="s">
        <v>55</v>
      </c>
      <c r="G27" s="8"/>
      <c r="H27" s="12">
        <f t="shared" si="6"/>
        <v>0</v>
      </c>
      <c r="I27" s="22"/>
      <c r="J27" s="25"/>
      <c r="K27" s="18" t="s">
        <v>55</v>
      </c>
      <c r="L27" s="8"/>
      <c r="M27" s="12">
        <f t="shared" si="7"/>
        <v>0</v>
      </c>
      <c r="N27" s="22"/>
      <c r="O27" s="25"/>
      <c r="P27" s="18" t="s">
        <v>55</v>
      </c>
      <c r="Q27" s="8"/>
      <c r="R27" s="12">
        <f t="shared" si="8"/>
        <v>0</v>
      </c>
      <c r="S27" s="22"/>
      <c r="T27" s="25"/>
      <c r="U27" s="18" t="s">
        <v>55</v>
      </c>
      <c r="V27" s="8"/>
      <c r="W27" s="12">
        <f t="shared" si="9"/>
        <v>0</v>
      </c>
      <c r="X27" s="22"/>
    </row>
    <row r="28" spans="1:24">
      <c r="A28" s="18" t="s">
        <v>56</v>
      </c>
      <c r="B28" s="8"/>
      <c r="C28" s="12">
        <f t="shared" si="5"/>
        <v>0</v>
      </c>
      <c r="D28" s="22"/>
      <c r="E28" s="25"/>
      <c r="F28" s="18" t="s">
        <v>56</v>
      </c>
      <c r="G28" s="8"/>
      <c r="H28" s="12">
        <f t="shared" si="6"/>
        <v>0</v>
      </c>
      <c r="I28" s="22"/>
      <c r="J28" s="25"/>
      <c r="K28" s="18" t="s">
        <v>56</v>
      </c>
      <c r="L28" s="8"/>
      <c r="M28" s="12">
        <f t="shared" si="7"/>
        <v>0</v>
      </c>
      <c r="N28" s="22"/>
      <c r="O28" s="25"/>
      <c r="P28" s="18" t="s">
        <v>56</v>
      </c>
      <c r="Q28" s="8"/>
      <c r="R28" s="12">
        <f t="shared" si="8"/>
        <v>0</v>
      </c>
      <c r="S28" s="22"/>
      <c r="T28" s="25"/>
      <c r="U28" s="18" t="s">
        <v>56</v>
      </c>
      <c r="V28" s="8"/>
      <c r="W28" s="12">
        <f t="shared" si="9"/>
        <v>0</v>
      </c>
      <c r="X28" s="22"/>
    </row>
    <row r="29" spans="1:24" ht="18.600000000000001" thickBot="1">
      <c r="A29" s="19" t="s">
        <v>57</v>
      </c>
      <c r="B29" s="20"/>
      <c r="C29" s="21">
        <f t="shared" si="5"/>
        <v>0</v>
      </c>
      <c r="D29" s="23"/>
      <c r="E29" s="25"/>
      <c r="F29" s="19" t="s">
        <v>57</v>
      </c>
      <c r="G29" s="20"/>
      <c r="H29" s="21">
        <f t="shared" si="6"/>
        <v>0</v>
      </c>
      <c r="I29" s="23"/>
      <c r="J29" s="25"/>
      <c r="K29" s="19" t="s">
        <v>57</v>
      </c>
      <c r="L29" s="20"/>
      <c r="M29" s="21">
        <f t="shared" si="7"/>
        <v>0</v>
      </c>
      <c r="N29" s="23"/>
      <c r="O29" s="25"/>
      <c r="P29" s="19" t="s">
        <v>57</v>
      </c>
      <c r="Q29" s="20"/>
      <c r="R29" s="21">
        <f t="shared" si="8"/>
        <v>0</v>
      </c>
      <c r="S29" s="23"/>
      <c r="T29" s="25"/>
      <c r="U29" s="19" t="s">
        <v>57</v>
      </c>
      <c r="V29" s="20"/>
      <c r="W29" s="21">
        <f t="shared" si="9"/>
        <v>0</v>
      </c>
      <c r="X29" s="23"/>
    </row>
    <row r="30" spans="1:24">
      <c r="A30" s="13" t="s">
        <v>16</v>
      </c>
      <c r="B30" s="14">
        <f>B32-B31</f>
        <v>4</v>
      </c>
      <c r="C30" s="12">
        <f t="shared" si="5"/>
        <v>0.36363636363636365</v>
      </c>
      <c r="D30" s="14"/>
      <c r="E30" s="26"/>
      <c r="F30" s="13" t="s">
        <v>16</v>
      </c>
      <c r="G30" s="14">
        <f>G32-G31</f>
        <v>10</v>
      </c>
      <c r="H30" s="12">
        <f t="shared" si="6"/>
        <v>1</v>
      </c>
      <c r="I30" s="14"/>
      <c r="J30" s="27"/>
      <c r="K30" s="16" t="s">
        <v>16</v>
      </c>
      <c r="L30" s="14">
        <f>L32-L31</f>
        <v>10</v>
      </c>
      <c r="M30" s="28">
        <f t="shared" si="7"/>
        <v>1</v>
      </c>
      <c r="N30" s="14"/>
      <c r="O30" s="26"/>
      <c r="P30" s="13" t="s">
        <v>16</v>
      </c>
      <c r="Q30" s="14">
        <f>Q32-Q31</f>
        <v>10</v>
      </c>
      <c r="R30" s="12">
        <f t="shared" si="8"/>
        <v>1</v>
      </c>
      <c r="S30" s="14"/>
      <c r="T30" s="26"/>
      <c r="U30" s="13" t="s">
        <v>16</v>
      </c>
      <c r="V30" s="14">
        <f>V32-V31</f>
        <v>10</v>
      </c>
      <c r="W30" s="12">
        <f t="shared" si="9"/>
        <v>1</v>
      </c>
      <c r="X30" s="14"/>
    </row>
    <row r="31" spans="1:24">
      <c r="A31" s="7" t="s">
        <v>17</v>
      </c>
      <c r="B31" s="8">
        <f>SUM(B20:B29)</f>
        <v>7</v>
      </c>
      <c r="C31" s="12">
        <f t="shared" si="5"/>
        <v>0.63636363636363635</v>
      </c>
      <c r="D31" s="8"/>
      <c r="E31" s="26"/>
      <c r="F31" s="7" t="s">
        <v>17</v>
      </c>
      <c r="G31" s="8">
        <f>SUM(G20:G29)</f>
        <v>0</v>
      </c>
      <c r="H31" s="12">
        <f t="shared" si="6"/>
        <v>0</v>
      </c>
      <c r="I31" s="8"/>
      <c r="J31" s="27"/>
      <c r="K31" s="7" t="s">
        <v>17</v>
      </c>
      <c r="L31" s="8">
        <f>SUM(L20:L29)</f>
        <v>0</v>
      </c>
      <c r="M31" s="12">
        <f t="shared" si="7"/>
        <v>0</v>
      </c>
      <c r="N31" s="8"/>
      <c r="O31" s="26"/>
      <c r="P31" s="7" t="s">
        <v>17</v>
      </c>
      <c r="Q31" s="8">
        <f>SUM(Q20:Q29)</f>
        <v>0</v>
      </c>
      <c r="R31" s="12">
        <f t="shared" si="8"/>
        <v>0</v>
      </c>
      <c r="S31" s="8"/>
      <c r="T31" s="26"/>
      <c r="U31" s="7" t="s">
        <v>17</v>
      </c>
      <c r="V31" s="8">
        <f>SUM(V20:V29)</f>
        <v>0</v>
      </c>
      <c r="W31" s="12">
        <f t="shared" si="9"/>
        <v>0</v>
      </c>
      <c r="X31" s="8"/>
    </row>
    <row r="32" spans="1:24">
      <c r="A32" s="7" t="s">
        <v>18</v>
      </c>
      <c r="B32" s="8">
        <v>11</v>
      </c>
      <c r="C32" s="12" t="s">
        <v>47</v>
      </c>
      <c r="D32" s="8">
        <v>90</v>
      </c>
      <c r="E32" s="26"/>
      <c r="F32" s="7" t="s">
        <v>18</v>
      </c>
      <c r="G32" s="8">
        <v>10</v>
      </c>
      <c r="H32" s="12" t="s">
        <v>47</v>
      </c>
      <c r="I32" s="8">
        <v>90</v>
      </c>
      <c r="J32" s="27"/>
      <c r="K32" s="7" t="s">
        <v>18</v>
      </c>
      <c r="L32" s="8">
        <v>10</v>
      </c>
      <c r="M32" s="12" t="s">
        <v>47</v>
      </c>
      <c r="N32" s="8">
        <v>90</v>
      </c>
      <c r="O32" s="26"/>
      <c r="P32" s="7" t="s">
        <v>18</v>
      </c>
      <c r="Q32" s="8">
        <v>10</v>
      </c>
      <c r="R32" s="12" t="s">
        <v>47</v>
      </c>
      <c r="S32" s="8">
        <v>90</v>
      </c>
      <c r="T32" s="26"/>
      <c r="U32" s="7" t="s">
        <v>18</v>
      </c>
      <c r="V32" s="8">
        <v>10</v>
      </c>
      <c r="W32" s="12" t="s">
        <v>47</v>
      </c>
      <c r="X32" s="8">
        <v>90</v>
      </c>
    </row>
    <row r="34" spans="1:24" ht="18.600000000000001" thickBot="1">
      <c r="A34" s="10" t="s">
        <v>29</v>
      </c>
    </row>
    <row r="35" spans="1:24">
      <c r="A35" s="15" t="s">
        <v>21</v>
      </c>
      <c r="B35" s="16" t="s">
        <v>24</v>
      </c>
      <c r="C35" s="16" t="s">
        <v>15</v>
      </c>
      <c r="D35" s="17" t="s">
        <v>20</v>
      </c>
      <c r="E35" s="25"/>
      <c r="F35" s="15" t="s">
        <v>22</v>
      </c>
      <c r="G35" s="16" t="s">
        <v>24</v>
      </c>
      <c r="H35" s="16" t="s">
        <v>15</v>
      </c>
      <c r="I35" s="17" t="s">
        <v>20</v>
      </c>
      <c r="J35" s="25"/>
      <c r="K35" s="15" t="s">
        <v>23</v>
      </c>
      <c r="L35" s="16" t="s">
        <v>24</v>
      </c>
      <c r="M35" s="16" t="s">
        <v>15</v>
      </c>
      <c r="N35" s="17" t="s">
        <v>20</v>
      </c>
      <c r="O35" s="25"/>
      <c r="P35" s="15" t="s">
        <v>25</v>
      </c>
      <c r="Q35" s="16" t="s">
        <v>24</v>
      </c>
      <c r="R35" s="16" t="s">
        <v>15</v>
      </c>
      <c r="S35" s="17" t="s">
        <v>20</v>
      </c>
      <c r="T35" s="25"/>
      <c r="U35" s="15" t="s">
        <v>26</v>
      </c>
      <c r="V35" s="16" t="s">
        <v>24</v>
      </c>
      <c r="W35" s="16" t="s">
        <v>15</v>
      </c>
      <c r="X35" s="17" t="s">
        <v>20</v>
      </c>
    </row>
    <row r="36" spans="1:24">
      <c r="A36" s="18" t="s">
        <v>48</v>
      </c>
      <c r="B36" s="8">
        <v>5</v>
      </c>
      <c r="C36" s="12">
        <f>B36/B$48</f>
        <v>0.41666666666666669</v>
      </c>
      <c r="D36" s="22"/>
      <c r="E36" s="25"/>
      <c r="F36" s="18" t="s">
        <v>48</v>
      </c>
      <c r="G36" s="8"/>
      <c r="H36" s="12">
        <f>G36/G$48</f>
        <v>0</v>
      </c>
      <c r="I36" s="22"/>
      <c r="J36" s="25"/>
      <c r="K36" s="18" t="s">
        <v>48</v>
      </c>
      <c r="L36" s="8"/>
      <c r="M36" s="12">
        <f>L36/L$48</f>
        <v>0</v>
      </c>
      <c r="N36" s="22"/>
      <c r="O36" s="25"/>
      <c r="P36" s="18" t="s">
        <v>48</v>
      </c>
      <c r="Q36" s="8"/>
      <c r="R36" s="12">
        <f>Q36/Q$48</f>
        <v>0</v>
      </c>
      <c r="S36" s="22"/>
      <c r="T36" s="25"/>
      <c r="U36" s="18" t="s">
        <v>48</v>
      </c>
      <c r="V36" s="8"/>
      <c r="W36" s="12">
        <f>V36/V$48</f>
        <v>0</v>
      </c>
      <c r="X36" s="22"/>
    </row>
    <row r="37" spans="1:24">
      <c r="A37" s="18" t="s">
        <v>49</v>
      </c>
      <c r="B37" s="8">
        <v>6</v>
      </c>
      <c r="C37" s="12">
        <f t="shared" ref="C37:C47" si="10">B37/B$48</f>
        <v>0.5</v>
      </c>
      <c r="D37" s="22"/>
      <c r="E37" s="25"/>
      <c r="F37" s="18" t="s">
        <v>49</v>
      </c>
      <c r="G37" s="8"/>
      <c r="H37" s="12">
        <f t="shared" ref="H37:H47" si="11">G37/G$48</f>
        <v>0</v>
      </c>
      <c r="I37" s="22"/>
      <c r="J37" s="25"/>
      <c r="K37" s="18" t="s">
        <v>49</v>
      </c>
      <c r="L37" s="8"/>
      <c r="M37" s="12">
        <f t="shared" ref="M37:M47" si="12">L37/L$48</f>
        <v>0</v>
      </c>
      <c r="N37" s="22"/>
      <c r="O37" s="25"/>
      <c r="P37" s="18" t="s">
        <v>49</v>
      </c>
      <c r="Q37" s="8"/>
      <c r="R37" s="12">
        <f t="shared" ref="R37:R47" si="13">Q37/Q$48</f>
        <v>0</v>
      </c>
      <c r="S37" s="22"/>
      <c r="T37" s="25"/>
      <c r="U37" s="18" t="s">
        <v>49</v>
      </c>
      <c r="V37" s="8"/>
      <c r="W37" s="12">
        <f t="shared" ref="W37:W47" si="14">V37/V$48</f>
        <v>0</v>
      </c>
      <c r="X37" s="22"/>
    </row>
    <row r="38" spans="1:24">
      <c r="A38" s="18" t="s">
        <v>50</v>
      </c>
      <c r="B38" s="8"/>
      <c r="C38" s="12">
        <f t="shared" si="10"/>
        <v>0</v>
      </c>
      <c r="D38" s="22"/>
      <c r="E38" s="25"/>
      <c r="F38" s="18" t="s">
        <v>50</v>
      </c>
      <c r="G38" s="8"/>
      <c r="H38" s="12">
        <f t="shared" si="11"/>
        <v>0</v>
      </c>
      <c r="I38" s="22"/>
      <c r="J38" s="25"/>
      <c r="K38" s="18" t="s">
        <v>50</v>
      </c>
      <c r="L38" s="8"/>
      <c r="M38" s="12">
        <f t="shared" si="12"/>
        <v>0</v>
      </c>
      <c r="N38" s="22"/>
      <c r="O38" s="25"/>
      <c r="P38" s="18" t="s">
        <v>50</v>
      </c>
      <c r="Q38" s="8"/>
      <c r="R38" s="12">
        <f t="shared" si="13"/>
        <v>0</v>
      </c>
      <c r="S38" s="22"/>
      <c r="T38" s="25"/>
      <c r="U38" s="18" t="s">
        <v>50</v>
      </c>
      <c r="V38" s="8"/>
      <c r="W38" s="12">
        <f t="shared" si="14"/>
        <v>0</v>
      </c>
      <c r="X38" s="22"/>
    </row>
    <row r="39" spans="1:24">
      <c r="A39" s="18" t="s">
        <v>51</v>
      </c>
      <c r="B39" s="8"/>
      <c r="C39" s="12">
        <f t="shared" si="10"/>
        <v>0</v>
      </c>
      <c r="D39" s="22"/>
      <c r="E39" s="25"/>
      <c r="F39" s="18" t="s">
        <v>51</v>
      </c>
      <c r="G39" s="8"/>
      <c r="H39" s="12">
        <f t="shared" si="11"/>
        <v>0</v>
      </c>
      <c r="I39" s="22"/>
      <c r="J39" s="25"/>
      <c r="K39" s="18" t="s">
        <v>51</v>
      </c>
      <c r="L39" s="8"/>
      <c r="M39" s="12">
        <f t="shared" si="12"/>
        <v>0</v>
      </c>
      <c r="N39" s="22"/>
      <c r="O39" s="25"/>
      <c r="P39" s="18" t="s">
        <v>51</v>
      </c>
      <c r="Q39" s="8"/>
      <c r="R39" s="12">
        <f t="shared" si="13"/>
        <v>0</v>
      </c>
      <c r="S39" s="22"/>
      <c r="T39" s="25"/>
      <c r="U39" s="18" t="s">
        <v>51</v>
      </c>
      <c r="V39" s="8"/>
      <c r="W39" s="12">
        <f t="shared" si="14"/>
        <v>0</v>
      </c>
      <c r="X39" s="22"/>
    </row>
    <row r="40" spans="1:24">
      <c r="A40" s="18" t="s">
        <v>52</v>
      </c>
      <c r="B40" s="8"/>
      <c r="C40" s="12">
        <f t="shared" si="10"/>
        <v>0</v>
      </c>
      <c r="D40" s="22"/>
      <c r="E40" s="25"/>
      <c r="F40" s="18" t="s">
        <v>52</v>
      </c>
      <c r="G40" s="8"/>
      <c r="H40" s="12">
        <f t="shared" si="11"/>
        <v>0</v>
      </c>
      <c r="I40" s="22"/>
      <c r="J40" s="25"/>
      <c r="K40" s="18" t="s">
        <v>52</v>
      </c>
      <c r="L40" s="8"/>
      <c r="M40" s="12">
        <f t="shared" si="12"/>
        <v>0</v>
      </c>
      <c r="N40" s="22"/>
      <c r="O40" s="25"/>
      <c r="P40" s="18" t="s">
        <v>52</v>
      </c>
      <c r="Q40" s="8"/>
      <c r="R40" s="12">
        <f t="shared" si="13"/>
        <v>0</v>
      </c>
      <c r="S40" s="22"/>
      <c r="T40" s="25"/>
      <c r="U40" s="18" t="s">
        <v>52</v>
      </c>
      <c r="V40" s="8"/>
      <c r="W40" s="12">
        <f t="shared" si="14"/>
        <v>0</v>
      </c>
      <c r="X40" s="22"/>
    </row>
    <row r="41" spans="1:24">
      <c r="A41" s="18" t="s">
        <v>53</v>
      </c>
      <c r="B41" s="8"/>
      <c r="C41" s="12">
        <f t="shared" si="10"/>
        <v>0</v>
      </c>
      <c r="D41" s="22"/>
      <c r="E41" s="25"/>
      <c r="F41" s="18" t="s">
        <v>53</v>
      </c>
      <c r="G41" s="8"/>
      <c r="H41" s="12">
        <f t="shared" si="11"/>
        <v>0</v>
      </c>
      <c r="I41" s="22"/>
      <c r="J41" s="25"/>
      <c r="K41" s="18" t="s">
        <v>53</v>
      </c>
      <c r="L41" s="8"/>
      <c r="M41" s="12">
        <f t="shared" si="12"/>
        <v>0</v>
      </c>
      <c r="N41" s="22"/>
      <c r="O41" s="25"/>
      <c r="P41" s="18" t="s">
        <v>53</v>
      </c>
      <c r="Q41" s="8"/>
      <c r="R41" s="12">
        <f t="shared" si="13"/>
        <v>0</v>
      </c>
      <c r="S41" s="22"/>
      <c r="T41" s="25"/>
      <c r="U41" s="18" t="s">
        <v>53</v>
      </c>
      <c r="V41" s="8"/>
      <c r="W41" s="12">
        <f t="shared" si="14"/>
        <v>0</v>
      </c>
      <c r="X41" s="22"/>
    </row>
    <row r="42" spans="1:24">
      <c r="A42" s="18" t="s">
        <v>54</v>
      </c>
      <c r="B42" s="8"/>
      <c r="C42" s="12">
        <f t="shared" si="10"/>
        <v>0</v>
      </c>
      <c r="D42" s="22"/>
      <c r="E42" s="25"/>
      <c r="F42" s="18" t="s">
        <v>54</v>
      </c>
      <c r="G42" s="8"/>
      <c r="H42" s="12">
        <f t="shared" si="11"/>
        <v>0</v>
      </c>
      <c r="I42" s="22"/>
      <c r="J42" s="25"/>
      <c r="K42" s="18" t="s">
        <v>54</v>
      </c>
      <c r="L42" s="8"/>
      <c r="M42" s="12">
        <f t="shared" si="12"/>
        <v>0</v>
      </c>
      <c r="N42" s="22"/>
      <c r="O42" s="25"/>
      <c r="P42" s="18" t="s">
        <v>54</v>
      </c>
      <c r="Q42" s="8"/>
      <c r="R42" s="12">
        <f t="shared" si="13"/>
        <v>0</v>
      </c>
      <c r="S42" s="22"/>
      <c r="T42" s="25"/>
      <c r="U42" s="18" t="s">
        <v>54</v>
      </c>
      <c r="V42" s="8"/>
      <c r="W42" s="12">
        <f t="shared" si="14"/>
        <v>0</v>
      </c>
      <c r="X42" s="22"/>
    </row>
    <row r="43" spans="1:24">
      <c r="A43" s="18" t="s">
        <v>55</v>
      </c>
      <c r="B43" s="8"/>
      <c r="C43" s="12">
        <f t="shared" si="10"/>
        <v>0</v>
      </c>
      <c r="D43" s="22"/>
      <c r="E43" s="25"/>
      <c r="F43" s="18" t="s">
        <v>55</v>
      </c>
      <c r="G43" s="8"/>
      <c r="H43" s="12">
        <f t="shared" si="11"/>
        <v>0</v>
      </c>
      <c r="I43" s="22"/>
      <c r="J43" s="25"/>
      <c r="K43" s="18" t="s">
        <v>55</v>
      </c>
      <c r="L43" s="8"/>
      <c r="M43" s="12">
        <f t="shared" si="12"/>
        <v>0</v>
      </c>
      <c r="N43" s="22"/>
      <c r="O43" s="25"/>
      <c r="P43" s="18" t="s">
        <v>55</v>
      </c>
      <c r="Q43" s="8"/>
      <c r="R43" s="12">
        <f t="shared" si="13"/>
        <v>0</v>
      </c>
      <c r="S43" s="22"/>
      <c r="T43" s="25"/>
      <c r="U43" s="18" t="s">
        <v>55</v>
      </c>
      <c r="V43" s="8"/>
      <c r="W43" s="12">
        <f t="shared" si="14"/>
        <v>0</v>
      </c>
      <c r="X43" s="22"/>
    </row>
    <row r="44" spans="1:24">
      <c r="A44" s="18" t="s">
        <v>56</v>
      </c>
      <c r="B44" s="8"/>
      <c r="C44" s="12">
        <f t="shared" si="10"/>
        <v>0</v>
      </c>
      <c r="D44" s="22"/>
      <c r="E44" s="25"/>
      <c r="F44" s="18" t="s">
        <v>56</v>
      </c>
      <c r="G44" s="8"/>
      <c r="H44" s="12">
        <f t="shared" si="11"/>
        <v>0</v>
      </c>
      <c r="I44" s="22"/>
      <c r="J44" s="25"/>
      <c r="K44" s="18" t="s">
        <v>56</v>
      </c>
      <c r="L44" s="8"/>
      <c r="M44" s="12">
        <f t="shared" si="12"/>
        <v>0</v>
      </c>
      <c r="N44" s="22"/>
      <c r="O44" s="25"/>
      <c r="P44" s="18" t="s">
        <v>56</v>
      </c>
      <c r="Q44" s="8"/>
      <c r="R44" s="12">
        <f t="shared" si="13"/>
        <v>0</v>
      </c>
      <c r="S44" s="22"/>
      <c r="T44" s="25"/>
      <c r="U44" s="18" t="s">
        <v>56</v>
      </c>
      <c r="V44" s="8"/>
      <c r="W44" s="12">
        <f t="shared" si="14"/>
        <v>0</v>
      </c>
      <c r="X44" s="22"/>
    </row>
    <row r="45" spans="1:24" ht="18.600000000000001" thickBot="1">
      <c r="A45" s="19" t="s">
        <v>57</v>
      </c>
      <c r="B45" s="20"/>
      <c r="C45" s="21">
        <f t="shared" si="10"/>
        <v>0</v>
      </c>
      <c r="D45" s="23"/>
      <c r="E45" s="25"/>
      <c r="F45" s="19" t="s">
        <v>57</v>
      </c>
      <c r="G45" s="20"/>
      <c r="H45" s="21">
        <f t="shared" si="11"/>
        <v>0</v>
      </c>
      <c r="I45" s="23"/>
      <c r="J45" s="25"/>
      <c r="K45" s="19" t="s">
        <v>57</v>
      </c>
      <c r="L45" s="20"/>
      <c r="M45" s="21">
        <f t="shared" si="12"/>
        <v>0</v>
      </c>
      <c r="N45" s="23"/>
      <c r="O45" s="25"/>
      <c r="P45" s="19" t="s">
        <v>57</v>
      </c>
      <c r="Q45" s="20"/>
      <c r="R45" s="21">
        <f t="shared" si="13"/>
        <v>0</v>
      </c>
      <c r="S45" s="23"/>
      <c r="T45" s="25"/>
      <c r="U45" s="19" t="s">
        <v>57</v>
      </c>
      <c r="V45" s="20"/>
      <c r="W45" s="21">
        <f t="shared" si="14"/>
        <v>0</v>
      </c>
      <c r="X45" s="23"/>
    </row>
    <row r="46" spans="1:24">
      <c r="A46" s="13" t="s">
        <v>16</v>
      </c>
      <c r="B46" s="14">
        <f>B48-B47</f>
        <v>1</v>
      </c>
      <c r="C46" s="12">
        <f t="shared" si="10"/>
        <v>8.3333333333333329E-2</v>
      </c>
      <c r="D46" s="14"/>
      <c r="E46" s="26"/>
      <c r="F46" s="13" t="s">
        <v>16</v>
      </c>
      <c r="G46" s="14">
        <f>G48-G47</f>
        <v>10</v>
      </c>
      <c r="H46" s="12">
        <f t="shared" si="11"/>
        <v>1</v>
      </c>
      <c r="I46" s="14"/>
      <c r="J46" s="27"/>
      <c r="K46" s="16" t="s">
        <v>16</v>
      </c>
      <c r="L46" s="14">
        <f>L48-L47</f>
        <v>10</v>
      </c>
      <c r="M46" s="28">
        <f t="shared" si="12"/>
        <v>1</v>
      </c>
      <c r="N46" s="14"/>
      <c r="O46" s="26"/>
      <c r="P46" s="13" t="s">
        <v>16</v>
      </c>
      <c r="Q46" s="14">
        <f>Q48-Q47</f>
        <v>10</v>
      </c>
      <c r="R46" s="12">
        <f t="shared" si="13"/>
        <v>1</v>
      </c>
      <c r="S46" s="14"/>
      <c r="T46" s="26"/>
      <c r="U46" s="13" t="s">
        <v>16</v>
      </c>
      <c r="V46" s="14">
        <f>V48-V47</f>
        <v>10</v>
      </c>
      <c r="W46" s="12">
        <f t="shared" si="14"/>
        <v>1</v>
      </c>
      <c r="X46" s="14"/>
    </row>
    <row r="47" spans="1:24">
      <c r="A47" s="7" t="s">
        <v>17</v>
      </c>
      <c r="B47" s="8">
        <f>SUM(B36:B45)</f>
        <v>11</v>
      </c>
      <c r="C47" s="12">
        <f t="shared" si="10"/>
        <v>0.91666666666666663</v>
      </c>
      <c r="D47" s="8"/>
      <c r="E47" s="26"/>
      <c r="F47" s="7" t="s">
        <v>17</v>
      </c>
      <c r="G47" s="8">
        <f>SUM(G36:G45)</f>
        <v>0</v>
      </c>
      <c r="H47" s="12">
        <f t="shared" si="11"/>
        <v>0</v>
      </c>
      <c r="I47" s="8"/>
      <c r="J47" s="27"/>
      <c r="K47" s="7" t="s">
        <v>17</v>
      </c>
      <c r="L47" s="8">
        <f>SUM(L36:L45)</f>
        <v>0</v>
      </c>
      <c r="M47" s="12">
        <f t="shared" si="12"/>
        <v>0</v>
      </c>
      <c r="N47" s="8"/>
      <c r="O47" s="26"/>
      <c r="P47" s="7" t="s">
        <v>17</v>
      </c>
      <c r="Q47" s="8">
        <f>SUM(Q36:Q45)</f>
        <v>0</v>
      </c>
      <c r="R47" s="12">
        <f t="shared" si="13"/>
        <v>0</v>
      </c>
      <c r="S47" s="8"/>
      <c r="T47" s="26"/>
      <c r="U47" s="7" t="s">
        <v>17</v>
      </c>
      <c r="V47" s="8">
        <f>SUM(V36:V45)</f>
        <v>0</v>
      </c>
      <c r="W47" s="12">
        <f t="shared" si="14"/>
        <v>0</v>
      </c>
      <c r="X47" s="8"/>
    </row>
    <row r="48" spans="1:24">
      <c r="A48" s="7" t="s">
        <v>18</v>
      </c>
      <c r="B48" s="8">
        <v>12</v>
      </c>
      <c r="C48" s="12" t="s">
        <v>47</v>
      </c>
      <c r="D48" s="8">
        <v>90</v>
      </c>
      <c r="E48" s="26"/>
      <c r="F48" s="7" t="s">
        <v>18</v>
      </c>
      <c r="G48" s="8">
        <v>10</v>
      </c>
      <c r="H48" s="12" t="s">
        <v>47</v>
      </c>
      <c r="I48" s="8">
        <v>90</v>
      </c>
      <c r="J48" s="27"/>
      <c r="K48" s="7" t="s">
        <v>18</v>
      </c>
      <c r="L48" s="8">
        <v>10</v>
      </c>
      <c r="M48" s="12" t="s">
        <v>47</v>
      </c>
      <c r="N48" s="8">
        <v>90</v>
      </c>
      <c r="O48" s="26"/>
      <c r="P48" s="7" t="s">
        <v>18</v>
      </c>
      <c r="Q48" s="8">
        <v>10</v>
      </c>
      <c r="R48" s="12" t="s">
        <v>47</v>
      </c>
      <c r="S48" s="8">
        <v>90</v>
      </c>
      <c r="T48" s="26"/>
      <c r="U48" s="7" t="s">
        <v>18</v>
      </c>
      <c r="V48" s="8">
        <v>10</v>
      </c>
      <c r="W48" s="12" t="s">
        <v>47</v>
      </c>
      <c r="X48" s="8">
        <v>90</v>
      </c>
    </row>
    <row r="50" spans="1:24" ht="18.600000000000001" thickBot="1">
      <c r="A50" s="10" t="s">
        <v>30</v>
      </c>
    </row>
    <row r="51" spans="1:24">
      <c r="A51" s="15" t="s">
        <v>21</v>
      </c>
      <c r="B51" s="16" t="s">
        <v>24</v>
      </c>
      <c r="C51" s="16" t="s">
        <v>15</v>
      </c>
      <c r="D51" s="17" t="s">
        <v>20</v>
      </c>
      <c r="E51" s="25"/>
      <c r="F51" s="15" t="s">
        <v>22</v>
      </c>
      <c r="G51" s="16" t="s">
        <v>24</v>
      </c>
      <c r="H51" s="16" t="s">
        <v>15</v>
      </c>
      <c r="I51" s="17" t="s">
        <v>20</v>
      </c>
      <c r="J51" s="25"/>
      <c r="K51" s="15" t="s">
        <v>23</v>
      </c>
      <c r="L51" s="16" t="s">
        <v>24</v>
      </c>
      <c r="M51" s="16" t="s">
        <v>15</v>
      </c>
      <c r="N51" s="17" t="s">
        <v>20</v>
      </c>
      <c r="O51" s="25"/>
      <c r="P51" s="15" t="s">
        <v>25</v>
      </c>
      <c r="Q51" s="16" t="s">
        <v>24</v>
      </c>
      <c r="R51" s="16" t="s">
        <v>15</v>
      </c>
      <c r="S51" s="17" t="s">
        <v>20</v>
      </c>
      <c r="T51" s="25"/>
      <c r="U51" s="15" t="s">
        <v>26</v>
      </c>
      <c r="V51" s="16" t="s">
        <v>24</v>
      </c>
      <c r="W51" s="16" t="s">
        <v>15</v>
      </c>
      <c r="X51" s="17" t="s">
        <v>20</v>
      </c>
    </row>
    <row r="52" spans="1:24">
      <c r="A52" s="18" t="s">
        <v>48</v>
      </c>
      <c r="B52" s="8">
        <v>7</v>
      </c>
      <c r="C52" s="12">
        <f>B52/B$64</f>
        <v>0.53846153846153844</v>
      </c>
      <c r="D52" s="22"/>
      <c r="E52" s="25"/>
      <c r="F52" s="18" t="s">
        <v>48</v>
      </c>
      <c r="G52" s="8"/>
      <c r="H52" s="12">
        <f>G52/G$64</f>
        <v>0</v>
      </c>
      <c r="I52" s="22"/>
      <c r="J52" s="25"/>
      <c r="K52" s="18" t="s">
        <v>48</v>
      </c>
      <c r="L52" s="8"/>
      <c r="M52" s="12">
        <f>L52/L$64</f>
        <v>0</v>
      </c>
      <c r="N52" s="22"/>
      <c r="O52" s="25"/>
      <c r="P52" s="18" t="s">
        <v>48</v>
      </c>
      <c r="Q52" s="8"/>
      <c r="R52" s="12">
        <f>Q52/Q$64</f>
        <v>0</v>
      </c>
      <c r="S52" s="22"/>
      <c r="T52" s="25"/>
      <c r="U52" s="18" t="s">
        <v>48</v>
      </c>
      <c r="V52" s="8"/>
      <c r="W52" s="12">
        <f>V52/V$64</f>
        <v>0</v>
      </c>
      <c r="X52" s="22"/>
    </row>
    <row r="53" spans="1:24">
      <c r="A53" s="18" t="s">
        <v>49</v>
      </c>
      <c r="B53" s="8">
        <v>8</v>
      </c>
      <c r="C53" s="12">
        <f t="shared" ref="C53:C63" si="15">B53/B$64</f>
        <v>0.61538461538461542</v>
      </c>
      <c r="D53" s="22"/>
      <c r="E53" s="25"/>
      <c r="F53" s="18" t="s">
        <v>49</v>
      </c>
      <c r="G53" s="8"/>
      <c r="H53" s="12">
        <f t="shared" ref="H53:H63" si="16">G53/G$64</f>
        <v>0</v>
      </c>
      <c r="I53" s="22"/>
      <c r="J53" s="25"/>
      <c r="K53" s="18" t="s">
        <v>49</v>
      </c>
      <c r="L53" s="8"/>
      <c r="M53" s="12">
        <f t="shared" ref="M53:M63" si="17">L53/L$64</f>
        <v>0</v>
      </c>
      <c r="N53" s="22"/>
      <c r="O53" s="25"/>
      <c r="P53" s="18" t="s">
        <v>49</v>
      </c>
      <c r="Q53" s="8"/>
      <c r="R53" s="12">
        <f t="shared" ref="R53:R63" si="18">Q53/Q$64</f>
        <v>0</v>
      </c>
      <c r="S53" s="22"/>
      <c r="T53" s="25"/>
      <c r="U53" s="18" t="s">
        <v>49</v>
      </c>
      <c r="V53" s="8"/>
      <c r="W53" s="12">
        <f t="shared" ref="W53:W63" si="19">V53/V$64</f>
        <v>0</v>
      </c>
      <c r="X53" s="22"/>
    </row>
    <row r="54" spans="1:24">
      <c r="A54" s="18" t="s">
        <v>50</v>
      </c>
      <c r="B54" s="8"/>
      <c r="C54" s="12">
        <f t="shared" si="15"/>
        <v>0</v>
      </c>
      <c r="D54" s="22"/>
      <c r="E54" s="25"/>
      <c r="F54" s="18" t="s">
        <v>50</v>
      </c>
      <c r="G54" s="8"/>
      <c r="H54" s="12">
        <f t="shared" si="16"/>
        <v>0</v>
      </c>
      <c r="I54" s="22"/>
      <c r="J54" s="25"/>
      <c r="K54" s="18" t="s">
        <v>50</v>
      </c>
      <c r="L54" s="8"/>
      <c r="M54" s="12">
        <f t="shared" si="17"/>
        <v>0</v>
      </c>
      <c r="N54" s="22"/>
      <c r="O54" s="25"/>
      <c r="P54" s="18" t="s">
        <v>50</v>
      </c>
      <c r="Q54" s="8"/>
      <c r="R54" s="12">
        <f t="shared" si="18"/>
        <v>0</v>
      </c>
      <c r="S54" s="22"/>
      <c r="T54" s="25"/>
      <c r="U54" s="18" t="s">
        <v>50</v>
      </c>
      <c r="V54" s="8"/>
      <c r="W54" s="12">
        <f t="shared" si="19"/>
        <v>0</v>
      </c>
      <c r="X54" s="22"/>
    </row>
    <row r="55" spans="1:24">
      <c r="A55" s="18" t="s">
        <v>51</v>
      </c>
      <c r="B55" s="8"/>
      <c r="C55" s="12">
        <f t="shared" si="15"/>
        <v>0</v>
      </c>
      <c r="D55" s="22"/>
      <c r="E55" s="25"/>
      <c r="F55" s="18" t="s">
        <v>51</v>
      </c>
      <c r="G55" s="8"/>
      <c r="H55" s="12">
        <f t="shared" si="16"/>
        <v>0</v>
      </c>
      <c r="I55" s="22"/>
      <c r="J55" s="25"/>
      <c r="K55" s="18" t="s">
        <v>51</v>
      </c>
      <c r="L55" s="8"/>
      <c r="M55" s="12">
        <f t="shared" si="17"/>
        <v>0</v>
      </c>
      <c r="N55" s="22"/>
      <c r="O55" s="25"/>
      <c r="P55" s="18" t="s">
        <v>51</v>
      </c>
      <c r="Q55" s="8"/>
      <c r="R55" s="12">
        <f t="shared" si="18"/>
        <v>0</v>
      </c>
      <c r="S55" s="22"/>
      <c r="T55" s="25"/>
      <c r="U55" s="18" t="s">
        <v>51</v>
      </c>
      <c r="V55" s="8"/>
      <c r="W55" s="12">
        <f t="shared" si="19"/>
        <v>0</v>
      </c>
      <c r="X55" s="22"/>
    </row>
    <row r="56" spans="1:24">
      <c r="A56" s="18" t="s">
        <v>52</v>
      </c>
      <c r="B56" s="8"/>
      <c r="C56" s="12">
        <f t="shared" si="15"/>
        <v>0</v>
      </c>
      <c r="D56" s="22"/>
      <c r="E56" s="25"/>
      <c r="F56" s="18" t="s">
        <v>52</v>
      </c>
      <c r="G56" s="8"/>
      <c r="H56" s="12">
        <f t="shared" si="16"/>
        <v>0</v>
      </c>
      <c r="I56" s="22"/>
      <c r="J56" s="25"/>
      <c r="K56" s="18" t="s">
        <v>52</v>
      </c>
      <c r="L56" s="8"/>
      <c r="M56" s="12">
        <f t="shared" si="17"/>
        <v>0</v>
      </c>
      <c r="N56" s="22"/>
      <c r="O56" s="25"/>
      <c r="P56" s="18" t="s">
        <v>52</v>
      </c>
      <c r="Q56" s="8"/>
      <c r="R56" s="12">
        <f t="shared" si="18"/>
        <v>0</v>
      </c>
      <c r="S56" s="22"/>
      <c r="T56" s="25"/>
      <c r="U56" s="18" t="s">
        <v>52</v>
      </c>
      <c r="V56" s="8"/>
      <c r="W56" s="12">
        <f t="shared" si="19"/>
        <v>0</v>
      </c>
      <c r="X56" s="22"/>
    </row>
    <row r="57" spans="1:24">
      <c r="A57" s="18" t="s">
        <v>53</v>
      </c>
      <c r="B57" s="8"/>
      <c r="C57" s="12">
        <f t="shared" si="15"/>
        <v>0</v>
      </c>
      <c r="D57" s="22"/>
      <c r="E57" s="25"/>
      <c r="F57" s="18" t="s">
        <v>53</v>
      </c>
      <c r="G57" s="8"/>
      <c r="H57" s="12">
        <f t="shared" si="16"/>
        <v>0</v>
      </c>
      <c r="I57" s="22"/>
      <c r="J57" s="25"/>
      <c r="K57" s="18" t="s">
        <v>53</v>
      </c>
      <c r="L57" s="8"/>
      <c r="M57" s="12">
        <f t="shared" si="17"/>
        <v>0</v>
      </c>
      <c r="N57" s="22"/>
      <c r="O57" s="25"/>
      <c r="P57" s="18" t="s">
        <v>53</v>
      </c>
      <c r="Q57" s="8"/>
      <c r="R57" s="12">
        <f t="shared" si="18"/>
        <v>0</v>
      </c>
      <c r="S57" s="22"/>
      <c r="T57" s="25"/>
      <c r="U57" s="18" t="s">
        <v>53</v>
      </c>
      <c r="V57" s="8"/>
      <c r="W57" s="12">
        <f t="shared" si="19"/>
        <v>0</v>
      </c>
      <c r="X57" s="22"/>
    </row>
    <row r="58" spans="1:24">
      <c r="A58" s="18" t="s">
        <v>54</v>
      </c>
      <c r="B58" s="8"/>
      <c r="C58" s="12">
        <f t="shared" si="15"/>
        <v>0</v>
      </c>
      <c r="D58" s="22"/>
      <c r="E58" s="25"/>
      <c r="F58" s="18" t="s">
        <v>54</v>
      </c>
      <c r="G58" s="8"/>
      <c r="H58" s="12">
        <f t="shared" si="16"/>
        <v>0</v>
      </c>
      <c r="I58" s="22"/>
      <c r="J58" s="25"/>
      <c r="K58" s="18" t="s">
        <v>54</v>
      </c>
      <c r="L58" s="8"/>
      <c r="M58" s="12">
        <f t="shared" si="17"/>
        <v>0</v>
      </c>
      <c r="N58" s="22"/>
      <c r="O58" s="25"/>
      <c r="P58" s="18" t="s">
        <v>54</v>
      </c>
      <c r="Q58" s="8"/>
      <c r="R58" s="12">
        <f t="shared" si="18"/>
        <v>0</v>
      </c>
      <c r="S58" s="22"/>
      <c r="T58" s="25"/>
      <c r="U58" s="18" t="s">
        <v>54</v>
      </c>
      <c r="V58" s="8"/>
      <c r="W58" s="12">
        <f t="shared" si="19"/>
        <v>0</v>
      </c>
      <c r="X58" s="22"/>
    </row>
    <row r="59" spans="1:24">
      <c r="A59" s="18" t="s">
        <v>55</v>
      </c>
      <c r="B59" s="8"/>
      <c r="C59" s="12">
        <f t="shared" si="15"/>
        <v>0</v>
      </c>
      <c r="D59" s="22"/>
      <c r="E59" s="25"/>
      <c r="F59" s="18" t="s">
        <v>55</v>
      </c>
      <c r="G59" s="8"/>
      <c r="H59" s="12">
        <f t="shared" si="16"/>
        <v>0</v>
      </c>
      <c r="I59" s="22"/>
      <c r="J59" s="25"/>
      <c r="K59" s="18" t="s">
        <v>55</v>
      </c>
      <c r="L59" s="8"/>
      <c r="M59" s="12">
        <f t="shared" si="17"/>
        <v>0</v>
      </c>
      <c r="N59" s="22"/>
      <c r="O59" s="25"/>
      <c r="P59" s="18" t="s">
        <v>55</v>
      </c>
      <c r="Q59" s="8"/>
      <c r="R59" s="12">
        <f t="shared" si="18"/>
        <v>0</v>
      </c>
      <c r="S59" s="22"/>
      <c r="T59" s="25"/>
      <c r="U59" s="18" t="s">
        <v>55</v>
      </c>
      <c r="V59" s="8"/>
      <c r="W59" s="12">
        <f t="shared" si="19"/>
        <v>0</v>
      </c>
      <c r="X59" s="22"/>
    </row>
    <row r="60" spans="1:24">
      <c r="A60" s="18" t="s">
        <v>56</v>
      </c>
      <c r="B60" s="8"/>
      <c r="C60" s="12">
        <f t="shared" si="15"/>
        <v>0</v>
      </c>
      <c r="D60" s="22"/>
      <c r="E60" s="25"/>
      <c r="F60" s="18" t="s">
        <v>56</v>
      </c>
      <c r="G60" s="8"/>
      <c r="H60" s="12">
        <f t="shared" si="16"/>
        <v>0</v>
      </c>
      <c r="I60" s="22"/>
      <c r="J60" s="25"/>
      <c r="K60" s="18" t="s">
        <v>56</v>
      </c>
      <c r="L60" s="8"/>
      <c r="M60" s="12">
        <f t="shared" si="17"/>
        <v>0</v>
      </c>
      <c r="N60" s="22"/>
      <c r="O60" s="25"/>
      <c r="P60" s="18" t="s">
        <v>56</v>
      </c>
      <c r="Q60" s="8"/>
      <c r="R60" s="12">
        <f t="shared" si="18"/>
        <v>0</v>
      </c>
      <c r="S60" s="22"/>
      <c r="T60" s="25"/>
      <c r="U60" s="18" t="s">
        <v>56</v>
      </c>
      <c r="V60" s="8"/>
      <c r="W60" s="12">
        <f t="shared" si="19"/>
        <v>0</v>
      </c>
      <c r="X60" s="22"/>
    </row>
    <row r="61" spans="1:24" ht="18.600000000000001" thickBot="1">
      <c r="A61" s="19" t="s">
        <v>57</v>
      </c>
      <c r="B61" s="20"/>
      <c r="C61" s="21">
        <f t="shared" si="15"/>
        <v>0</v>
      </c>
      <c r="D61" s="23"/>
      <c r="E61" s="25"/>
      <c r="F61" s="19" t="s">
        <v>57</v>
      </c>
      <c r="G61" s="20"/>
      <c r="H61" s="21">
        <f t="shared" si="16"/>
        <v>0</v>
      </c>
      <c r="I61" s="23"/>
      <c r="J61" s="25"/>
      <c r="K61" s="19" t="s">
        <v>57</v>
      </c>
      <c r="L61" s="20"/>
      <c r="M61" s="21">
        <f t="shared" si="17"/>
        <v>0</v>
      </c>
      <c r="N61" s="23"/>
      <c r="O61" s="25"/>
      <c r="P61" s="19" t="s">
        <v>57</v>
      </c>
      <c r="Q61" s="20"/>
      <c r="R61" s="21">
        <f t="shared" si="18"/>
        <v>0</v>
      </c>
      <c r="S61" s="23"/>
      <c r="T61" s="25"/>
      <c r="U61" s="19" t="s">
        <v>57</v>
      </c>
      <c r="V61" s="20"/>
      <c r="W61" s="21">
        <f t="shared" si="19"/>
        <v>0</v>
      </c>
      <c r="X61" s="23"/>
    </row>
    <row r="62" spans="1:24">
      <c r="A62" s="13" t="s">
        <v>16</v>
      </c>
      <c r="B62" s="14">
        <f>B64-B63</f>
        <v>-2</v>
      </c>
      <c r="C62" s="12">
        <f t="shared" si="15"/>
        <v>-0.15384615384615385</v>
      </c>
      <c r="D62" s="14"/>
      <c r="E62" s="26"/>
      <c r="F62" s="13" t="s">
        <v>16</v>
      </c>
      <c r="G62" s="14">
        <f>G64-G63</f>
        <v>10</v>
      </c>
      <c r="H62" s="12">
        <f t="shared" si="16"/>
        <v>1</v>
      </c>
      <c r="I62" s="14"/>
      <c r="J62" s="27"/>
      <c r="K62" s="16" t="s">
        <v>16</v>
      </c>
      <c r="L62" s="14">
        <f>L64-L63</f>
        <v>10</v>
      </c>
      <c r="M62" s="28">
        <f t="shared" si="17"/>
        <v>1</v>
      </c>
      <c r="N62" s="14"/>
      <c r="O62" s="26"/>
      <c r="P62" s="13" t="s">
        <v>16</v>
      </c>
      <c r="Q62" s="14">
        <f>Q64-Q63</f>
        <v>10</v>
      </c>
      <c r="R62" s="12">
        <f t="shared" si="18"/>
        <v>1</v>
      </c>
      <c r="S62" s="14"/>
      <c r="T62" s="26"/>
      <c r="U62" s="13" t="s">
        <v>16</v>
      </c>
      <c r="V62" s="14">
        <f>V64-V63</f>
        <v>10</v>
      </c>
      <c r="W62" s="12">
        <f t="shared" si="19"/>
        <v>1</v>
      </c>
      <c r="X62" s="14"/>
    </row>
    <row r="63" spans="1:24">
      <c r="A63" s="7" t="s">
        <v>17</v>
      </c>
      <c r="B63" s="8">
        <f>SUM(B52:B61)</f>
        <v>15</v>
      </c>
      <c r="C63" s="12">
        <f t="shared" si="15"/>
        <v>1.1538461538461537</v>
      </c>
      <c r="D63" s="8"/>
      <c r="E63" s="26"/>
      <c r="F63" s="7" t="s">
        <v>17</v>
      </c>
      <c r="G63" s="8">
        <f>SUM(G52:G61)</f>
        <v>0</v>
      </c>
      <c r="H63" s="12">
        <f t="shared" si="16"/>
        <v>0</v>
      </c>
      <c r="I63" s="8"/>
      <c r="J63" s="27"/>
      <c r="K63" s="7" t="s">
        <v>17</v>
      </c>
      <c r="L63" s="8">
        <f>SUM(L52:L61)</f>
        <v>0</v>
      </c>
      <c r="M63" s="12">
        <f t="shared" si="17"/>
        <v>0</v>
      </c>
      <c r="N63" s="8"/>
      <c r="O63" s="26"/>
      <c r="P63" s="7" t="s">
        <v>17</v>
      </c>
      <c r="Q63" s="8">
        <f>SUM(Q52:Q61)</f>
        <v>0</v>
      </c>
      <c r="R63" s="12">
        <f t="shared" si="18"/>
        <v>0</v>
      </c>
      <c r="S63" s="8"/>
      <c r="T63" s="26"/>
      <c r="U63" s="7" t="s">
        <v>17</v>
      </c>
      <c r="V63" s="8">
        <f>SUM(V52:V61)</f>
        <v>0</v>
      </c>
      <c r="W63" s="12">
        <f t="shared" si="19"/>
        <v>0</v>
      </c>
      <c r="X63" s="8"/>
    </row>
    <row r="64" spans="1:24">
      <c r="A64" s="7" t="s">
        <v>18</v>
      </c>
      <c r="B64" s="8">
        <v>13</v>
      </c>
      <c r="C64" s="12" t="s">
        <v>47</v>
      </c>
      <c r="D64" s="8">
        <v>90</v>
      </c>
      <c r="E64" s="26"/>
      <c r="F64" s="7" t="s">
        <v>18</v>
      </c>
      <c r="G64" s="8">
        <v>10</v>
      </c>
      <c r="H64" s="12" t="s">
        <v>47</v>
      </c>
      <c r="I64" s="8">
        <v>90</v>
      </c>
      <c r="J64" s="27"/>
      <c r="K64" s="7" t="s">
        <v>18</v>
      </c>
      <c r="L64" s="8">
        <v>10</v>
      </c>
      <c r="M64" s="12" t="s">
        <v>47</v>
      </c>
      <c r="N64" s="8">
        <v>90</v>
      </c>
      <c r="O64" s="26"/>
      <c r="P64" s="7" t="s">
        <v>18</v>
      </c>
      <c r="Q64" s="8">
        <v>10</v>
      </c>
      <c r="R64" s="12" t="s">
        <v>47</v>
      </c>
      <c r="S64" s="8">
        <v>90</v>
      </c>
      <c r="T64" s="26"/>
      <c r="U64" s="7" t="s">
        <v>18</v>
      </c>
      <c r="V64" s="8">
        <v>10</v>
      </c>
      <c r="W64" s="12" t="s">
        <v>47</v>
      </c>
      <c r="X64" s="8">
        <v>90</v>
      </c>
    </row>
    <row r="66" spans="1:24" ht="18.600000000000001" thickBot="1">
      <c r="A66" s="10" t="s">
        <v>31</v>
      </c>
    </row>
    <row r="67" spans="1:24">
      <c r="A67" s="15" t="s">
        <v>21</v>
      </c>
      <c r="B67" s="16" t="s">
        <v>24</v>
      </c>
      <c r="C67" s="16" t="s">
        <v>15</v>
      </c>
      <c r="D67" s="17" t="s">
        <v>20</v>
      </c>
      <c r="E67" s="25"/>
      <c r="F67" s="15" t="s">
        <v>22</v>
      </c>
      <c r="G67" s="16" t="s">
        <v>24</v>
      </c>
      <c r="H67" s="16" t="s">
        <v>15</v>
      </c>
      <c r="I67" s="17" t="s">
        <v>20</v>
      </c>
      <c r="J67" s="25"/>
      <c r="K67" s="15" t="s">
        <v>23</v>
      </c>
      <c r="L67" s="16" t="s">
        <v>24</v>
      </c>
      <c r="M67" s="16" t="s">
        <v>15</v>
      </c>
      <c r="N67" s="17" t="s">
        <v>20</v>
      </c>
      <c r="O67" s="25"/>
      <c r="P67" s="15" t="s">
        <v>25</v>
      </c>
      <c r="Q67" s="16" t="s">
        <v>24</v>
      </c>
      <c r="R67" s="16" t="s">
        <v>15</v>
      </c>
      <c r="S67" s="17" t="s">
        <v>20</v>
      </c>
      <c r="T67" s="25"/>
      <c r="U67" s="15" t="s">
        <v>26</v>
      </c>
      <c r="V67" s="16" t="s">
        <v>24</v>
      </c>
      <c r="W67" s="16" t="s">
        <v>15</v>
      </c>
      <c r="X67" s="17" t="s">
        <v>20</v>
      </c>
    </row>
    <row r="68" spans="1:24">
      <c r="A68" s="18" t="s">
        <v>48</v>
      </c>
      <c r="B68" s="8">
        <v>9</v>
      </c>
      <c r="C68" s="12">
        <f>B68/B$80</f>
        <v>0.6428571428571429</v>
      </c>
      <c r="D68" s="22"/>
      <c r="E68" s="25"/>
      <c r="F68" s="18" t="s">
        <v>48</v>
      </c>
      <c r="G68" s="8"/>
      <c r="H68" s="12">
        <f>G68/G$80</f>
        <v>0</v>
      </c>
      <c r="I68" s="22"/>
      <c r="J68" s="25"/>
      <c r="K68" s="18" t="s">
        <v>48</v>
      </c>
      <c r="L68" s="8"/>
      <c r="M68" s="12">
        <f>L68/L$80</f>
        <v>0</v>
      </c>
      <c r="N68" s="22"/>
      <c r="O68" s="25"/>
      <c r="P68" s="18" t="s">
        <v>48</v>
      </c>
      <c r="Q68" s="8"/>
      <c r="R68" s="12">
        <f>Q68/Q$80</f>
        <v>0</v>
      </c>
      <c r="S68" s="22"/>
      <c r="T68" s="25"/>
      <c r="U68" s="18" t="s">
        <v>48</v>
      </c>
      <c r="V68" s="8"/>
      <c r="W68" s="12">
        <f>V68/V$80</f>
        <v>0</v>
      </c>
      <c r="X68" s="22"/>
    </row>
    <row r="69" spans="1:24">
      <c r="A69" s="18" t="s">
        <v>49</v>
      </c>
      <c r="B69" s="8">
        <v>10</v>
      </c>
      <c r="C69" s="12">
        <f t="shared" ref="C69:C79" si="20">B69/B$80</f>
        <v>0.7142857142857143</v>
      </c>
      <c r="D69" s="22"/>
      <c r="E69" s="25"/>
      <c r="F69" s="18" t="s">
        <v>49</v>
      </c>
      <c r="G69" s="8"/>
      <c r="H69" s="12">
        <f t="shared" ref="H69:H79" si="21">G69/G$80</f>
        <v>0</v>
      </c>
      <c r="I69" s="22"/>
      <c r="J69" s="25"/>
      <c r="K69" s="18" t="s">
        <v>49</v>
      </c>
      <c r="L69" s="8"/>
      <c r="M69" s="12">
        <f t="shared" ref="M69:M79" si="22">L69/L$80</f>
        <v>0</v>
      </c>
      <c r="N69" s="22"/>
      <c r="O69" s="25"/>
      <c r="P69" s="18" t="s">
        <v>49</v>
      </c>
      <c r="Q69" s="8"/>
      <c r="R69" s="12">
        <f t="shared" ref="R69:R79" si="23">Q69/Q$80</f>
        <v>0</v>
      </c>
      <c r="S69" s="22"/>
      <c r="T69" s="25"/>
      <c r="U69" s="18" t="s">
        <v>49</v>
      </c>
      <c r="V69" s="8"/>
      <c r="W69" s="12">
        <f t="shared" ref="W69:W79" si="24">V69/V$80</f>
        <v>0</v>
      </c>
      <c r="X69" s="22"/>
    </row>
    <row r="70" spans="1:24">
      <c r="A70" s="18" t="s">
        <v>50</v>
      </c>
      <c r="B70" s="8"/>
      <c r="C70" s="12">
        <f t="shared" si="20"/>
        <v>0</v>
      </c>
      <c r="D70" s="22"/>
      <c r="E70" s="25"/>
      <c r="F70" s="18" t="s">
        <v>50</v>
      </c>
      <c r="G70" s="8"/>
      <c r="H70" s="12">
        <f t="shared" si="21"/>
        <v>0</v>
      </c>
      <c r="I70" s="22"/>
      <c r="J70" s="25"/>
      <c r="K70" s="18" t="s">
        <v>50</v>
      </c>
      <c r="L70" s="8"/>
      <c r="M70" s="12">
        <f t="shared" si="22"/>
        <v>0</v>
      </c>
      <c r="N70" s="22"/>
      <c r="O70" s="25"/>
      <c r="P70" s="18" t="s">
        <v>50</v>
      </c>
      <c r="Q70" s="8"/>
      <c r="R70" s="12">
        <f t="shared" si="23"/>
        <v>0</v>
      </c>
      <c r="S70" s="22"/>
      <c r="T70" s="25"/>
      <c r="U70" s="18" t="s">
        <v>50</v>
      </c>
      <c r="V70" s="8"/>
      <c r="W70" s="12">
        <f t="shared" si="24"/>
        <v>0</v>
      </c>
      <c r="X70" s="22"/>
    </row>
    <row r="71" spans="1:24">
      <c r="A71" s="18" t="s">
        <v>51</v>
      </c>
      <c r="B71" s="8"/>
      <c r="C71" s="12">
        <f t="shared" si="20"/>
        <v>0</v>
      </c>
      <c r="D71" s="22"/>
      <c r="E71" s="25"/>
      <c r="F71" s="18" t="s">
        <v>51</v>
      </c>
      <c r="G71" s="8"/>
      <c r="H71" s="12">
        <f t="shared" si="21"/>
        <v>0</v>
      </c>
      <c r="I71" s="22"/>
      <c r="J71" s="25"/>
      <c r="K71" s="18" t="s">
        <v>51</v>
      </c>
      <c r="L71" s="8"/>
      <c r="M71" s="12">
        <f t="shared" si="22"/>
        <v>0</v>
      </c>
      <c r="N71" s="22"/>
      <c r="O71" s="25"/>
      <c r="P71" s="18" t="s">
        <v>51</v>
      </c>
      <c r="Q71" s="8"/>
      <c r="R71" s="12">
        <f t="shared" si="23"/>
        <v>0</v>
      </c>
      <c r="S71" s="22"/>
      <c r="T71" s="25"/>
      <c r="U71" s="18" t="s">
        <v>51</v>
      </c>
      <c r="V71" s="8"/>
      <c r="W71" s="12">
        <f t="shared" si="24"/>
        <v>0</v>
      </c>
      <c r="X71" s="22"/>
    </row>
    <row r="72" spans="1:24">
      <c r="A72" s="18" t="s">
        <v>52</v>
      </c>
      <c r="B72" s="8"/>
      <c r="C72" s="12">
        <f t="shared" si="20"/>
        <v>0</v>
      </c>
      <c r="D72" s="22"/>
      <c r="E72" s="25"/>
      <c r="F72" s="18" t="s">
        <v>52</v>
      </c>
      <c r="G72" s="8"/>
      <c r="H72" s="12">
        <f t="shared" si="21"/>
        <v>0</v>
      </c>
      <c r="I72" s="22"/>
      <c r="J72" s="25"/>
      <c r="K72" s="18" t="s">
        <v>52</v>
      </c>
      <c r="L72" s="8"/>
      <c r="M72" s="12">
        <f t="shared" si="22"/>
        <v>0</v>
      </c>
      <c r="N72" s="22"/>
      <c r="O72" s="25"/>
      <c r="P72" s="18" t="s">
        <v>52</v>
      </c>
      <c r="Q72" s="8"/>
      <c r="R72" s="12">
        <f t="shared" si="23"/>
        <v>0</v>
      </c>
      <c r="S72" s="22"/>
      <c r="T72" s="25"/>
      <c r="U72" s="18" t="s">
        <v>52</v>
      </c>
      <c r="V72" s="8"/>
      <c r="W72" s="12">
        <f t="shared" si="24"/>
        <v>0</v>
      </c>
      <c r="X72" s="22"/>
    </row>
    <row r="73" spans="1:24">
      <c r="A73" s="18" t="s">
        <v>53</v>
      </c>
      <c r="B73" s="8"/>
      <c r="C73" s="12">
        <f t="shared" si="20"/>
        <v>0</v>
      </c>
      <c r="D73" s="22"/>
      <c r="E73" s="25"/>
      <c r="F73" s="18" t="s">
        <v>53</v>
      </c>
      <c r="G73" s="8"/>
      <c r="H73" s="12">
        <f t="shared" si="21"/>
        <v>0</v>
      </c>
      <c r="I73" s="22"/>
      <c r="J73" s="25"/>
      <c r="K73" s="18" t="s">
        <v>53</v>
      </c>
      <c r="L73" s="8"/>
      <c r="M73" s="12">
        <f t="shared" si="22"/>
        <v>0</v>
      </c>
      <c r="N73" s="22"/>
      <c r="O73" s="25"/>
      <c r="P73" s="18" t="s">
        <v>53</v>
      </c>
      <c r="Q73" s="8"/>
      <c r="R73" s="12">
        <f t="shared" si="23"/>
        <v>0</v>
      </c>
      <c r="S73" s="22"/>
      <c r="T73" s="25"/>
      <c r="U73" s="18" t="s">
        <v>53</v>
      </c>
      <c r="V73" s="8"/>
      <c r="W73" s="12">
        <f t="shared" si="24"/>
        <v>0</v>
      </c>
      <c r="X73" s="22"/>
    </row>
    <row r="74" spans="1:24">
      <c r="A74" s="18" t="s">
        <v>54</v>
      </c>
      <c r="B74" s="8"/>
      <c r="C74" s="12">
        <f t="shared" si="20"/>
        <v>0</v>
      </c>
      <c r="D74" s="22"/>
      <c r="E74" s="25"/>
      <c r="F74" s="18" t="s">
        <v>54</v>
      </c>
      <c r="G74" s="8"/>
      <c r="H74" s="12">
        <f t="shared" si="21"/>
        <v>0</v>
      </c>
      <c r="I74" s="22"/>
      <c r="J74" s="25"/>
      <c r="K74" s="18" t="s">
        <v>54</v>
      </c>
      <c r="L74" s="8"/>
      <c r="M74" s="12">
        <f t="shared" si="22"/>
        <v>0</v>
      </c>
      <c r="N74" s="22"/>
      <c r="O74" s="25"/>
      <c r="P74" s="18" t="s">
        <v>54</v>
      </c>
      <c r="Q74" s="8"/>
      <c r="R74" s="12">
        <f t="shared" si="23"/>
        <v>0</v>
      </c>
      <c r="S74" s="22"/>
      <c r="T74" s="25"/>
      <c r="U74" s="18" t="s">
        <v>54</v>
      </c>
      <c r="V74" s="8"/>
      <c r="W74" s="12">
        <f t="shared" si="24"/>
        <v>0</v>
      </c>
      <c r="X74" s="22"/>
    </row>
    <row r="75" spans="1:24">
      <c r="A75" s="18" t="s">
        <v>55</v>
      </c>
      <c r="B75" s="8"/>
      <c r="C75" s="12">
        <f t="shared" si="20"/>
        <v>0</v>
      </c>
      <c r="D75" s="22"/>
      <c r="E75" s="25"/>
      <c r="F75" s="18" t="s">
        <v>55</v>
      </c>
      <c r="G75" s="8"/>
      <c r="H75" s="12">
        <f t="shared" si="21"/>
        <v>0</v>
      </c>
      <c r="I75" s="22"/>
      <c r="J75" s="25"/>
      <c r="K75" s="18" t="s">
        <v>55</v>
      </c>
      <c r="L75" s="8"/>
      <c r="M75" s="12">
        <f t="shared" si="22"/>
        <v>0</v>
      </c>
      <c r="N75" s="22"/>
      <c r="O75" s="25"/>
      <c r="P75" s="18" t="s">
        <v>55</v>
      </c>
      <c r="Q75" s="8"/>
      <c r="R75" s="12">
        <f t="shared" si="23"/>
        <v>0</v>
      </c>
      <c r="S75" s="22"/>
      <c r="T75" s="25"/>
      <c r="U75" s="18" t="s">
        <v>55</v>
      </c>
      <c r="V75" s="8"/>
      <c r="W75" s="12">
        <f t="shared" si="24"/>
        <v>0</v>
      </c>
      <c r="X75" s="22"/>
    </row>
    <row r="76" spans="1:24">
      <c r="A76" s="18" t="s">
        <v>56</v>
      </c>
      <c r="B76" s="8"/>
      <c r="C76" s="12">
        <f t="shared" si="20"/>
        <v>0</v>
      </c>
      <c r="D76" s="22"/>
      <c r="E76" s="25"/>
      <c r="F76" s="18" t="s">
        <v>56</v>
      </c>
      <c r="G76" s="8"/>
      <c r="H76" s="12">
        <f t="shared" si="21"/>
        <v>0</v>
      </c>
      <c r="I76" s="22"/>
      <c r="J76" s="25"/>
      <c r="K76" s="18" t="s">
        <v>56</v>
      </c>
      <c r="L76" s="8"/>
      <c r="M76" s="12">
        <f t="shared" si="22"/>
        <v>0</v>
      </c>
      <c r="N76" s="22"/>
      <c r="O76" s="25"/>
      <c r="P76" s="18" t="s">
        <v>56</v>
      </c>
      <c r="Q76" s="8"/>
      <c r="R76" s="12">
        <f t="shared" si="23"/>
        <v>0</v>
      </c>
      <c r="S76" s="22"/>
      <c r="T76" s="25"/>
      <c r="U76" s="18" t="s">
        <v>56</v>
      </c>
      <c r="V76" s="8"/>
      <c r="W76" s="12">
        <f t="shared" si="24"/>
        <v>0</v>
      </c>
      <c r="X76" s="22"/>
    </row>
    <row r="77" spans="1:24" ht="18.600000000000001" thickBot="1">
      <c r="A77" s="19" t="s">
        <v>57</v>
      </c>
      <c r="B77" s="20"/>
      <c r="C77" s="21">
        <f t="shared" si="20"/>
        <v>0</v>
      </c>
      <c r="D77" s="23"/>
      <c r="E77" s="25"/>
      <c r="F77" s="19" t="s">
        <v>57</v>
      </c>
      <c r="G77" s="20"/>
      <c r="H77" s="21">
        <f t="shared" si="21"/>
        <v>0</v>
      </c>
      <c r="I77" s="23"/>
      <c r="J77" s="25"/>
      <c r="K77" s="19" t="s">
        <v>57</v>
      </c>
      <c r="L77" s="20"/>
      <c r="M77" s="21">
        <f t="shared" si="22"/>
        <v>0</v>
      </c>
      <c r="N77" s="23"/>
      <c r="O77" s="25"/>
      <c r="P77" s="19" t="s">
        <v>57</v>
      </c>
      <c r="Q77" s="20"/>
      <c r="R77" s="21">
        <f t="shared" si="23"/>
        <v>0</v>
      </c>
      <c r="S77" s="23"/>
      <c r="T77" s="25"/>
      <c r="U77" s="19" t="s">
        <v>57</v>
      </c>
      <c r="V77" s="20"/>
      <c r="W77" s="21">
        <f t="shared" si="24"/>
        <v>0</v>
      </c>
      <c r="X77" s="23"/>
    </row>
    <row r="78" spans="1:24">
      <c r="A78" s="13" t="s">
        <v>16</v>
      </c>
      <c r="B78" s="14">
        <f>B80-B79</f>
        <v>-5</v>
      </c>
      <c r="C78" s="12">
        <f t="shared" si="20"/>
        <v>-0.35714285714285715</v>
      </c>
      <c r="D78" s="14"/>
      <c r="E78" s="26"/>
      <c r="F78" s="13" t="s">
        <v>16</v>
      </c>
      <c r="G78" s="14">
        <f>G80-G79</f>
        <v>10</v>
      </c>
      <c r="H78" s="12">
        <f t="shared" si="21"/>
        <v>1</v>
      </c>
      <c r="I78" s="14"/>
      <c r="J78" s="27"/>
      <c r="K78" s="16" t="s">
        <v>16</v>
      </c>
      <c r="L78" s="14">
        <f>L80-L79</f>
        <v>10</v>
      </c>
      <c r="M78" s="28">
        <f t="shared" si="22"/>
        <v>1</v>
      </c>
      <c r="N78" s="14"/>
      <c r="O78" s="26"/>
      <c r="P78" s="13" t="s">
        <v>16</v>
      </c>
      <c r="Q78" s="14">
        <f>Q80-Q79</f>
        <v>10</v>
      </c>
      <c r="R78" s="12">
        <f t="shared" si="23"/>
        <v>1</v>
      </c>
      <c r="S78" s="14"/>
      <c r="T78" s="26"/>
      <c r="U78" s="13" t="s">
        <v>16</v>
      </c>
      <c r="V78" s="14">
        <f>V80-V79</f>
        <v>10</v>
      </c>
      <c r="W78" s="12">
        <f t="shared" si="24"/>
        <v>1</v>
      </c>
      <c r="X78" s="14"/>
    </row>
    <row r="79" spans="1:24">
      <c r="A79" s="7" t="s">
        <v>17</v>
      </c>
      <c r="B79" s="8">
        <f>SUM(B68:B77)</f>
        <v>19</v>
      </c>
      <c r="C79" s="12">
        <f t="shared" si="20"/>
        <v>1.3571428571428572</v>
      </c>
      <c r="D79" s="8"/>
      <c r="E79" s="26"/>
      <c r="F79" s="7" t="s">
        <v>17</v>
      </c>
      <c r="G79" s="8">
        <f>SUM(G68:G77)</f>
        <v>0</v>
      </c>
      <c r="H79" s="12">
        <f t="shared" si="21"/>
        <v>0</v>
      </c>
      <c r="I79" s="8"/>
      <c r="J79" s="27"/>
      <c r="K79" s="7" t="s">
        <v>17</v>
      </c>
      <c r="L79" s="8">
        <f>SUM(L68:L77)</f>
        <v>0</v>
      </c>
      <c r="M79" s="12">
        <f t="shared" si="22"/>
        <v>0</v>
      </c>
      <c r="N79" s="8"/>
      <c r="O79" s="26"/>
      <c r="P79" s="7" t="s">
        <v>17</v>
      </c>
      <c r="Q79" s="8">
        <f>SUM(Q68:Q77)</f>
        <v>0</v>
      </c>
      <c r="R79" s="12">
        <f t="shared" si="23"/>
        <v>0</v>
      </c>
      <c r="S79" s="8"/>
      <c r="T79" s="26"/>
      <c r="U79" s="7" t="s">
        <v>17</v>
      </c>
      <c r="V79" s="8">
        <f>SUM(V68:V77)</f>
        <v>0</v>
      </c>
      <c r="W79" s="12">
        <f t="shared" si="24"/>
        <v>0</v>
      </c>
      <c r="X79" s="8"/>
    </row>
    <row r="80" spans="1:24">
      <c r="A80" s="7" t="s">
        <v>18</v>
      </c>
      <c r="B80" s="8">
        <v>14</v>
      </c>
      <c r="C80" s="12" t="s">
        <v>47</v>
      </c>
      <c r="D80" s="8">
        <v>90</v>
      </c>
      <c r="E80" s="26"/>
      <c r="F80" s="7" t="s">
        <v>18</v>
      </c>
      <c r="G80" s="8">
        <v>10</v>
      </c>
      <c r="H80" s="12" t="s">
        <v>47</v>
      </c>
      <c r="I80" s="8">
        <v>90</v>
      </c>
      <c r="J80" s="27"/>
      <c r="K80" s="7" t="s">
        <v>18</v>
      </c>
      <c r="L80" s="8">
        <v>10</v>
      </c>
      <c r="M80" s="12" t="s">
        <v>47</v>
      </c>
      <c r="N80" s="8">
        <v>90</v>
      </c>
      <c r="O80" s="26"/>
      <c r="P80" s="7" t="s">
        <v>18</v>
      </c>
      <c r="Q80" s="8">
        <v>10</v>
      </c>
      <c r="R80" s="12" t="s">
        <v>47</v>
      </c>
      <c r="S80" s="8">
        <v>90</v>
      </c>
      <c r="T80" s="26"/>
      <c r="U80" s="7" t="s">
        <v>18</v>
      </c>
      <c r="V80" s="8">
        <v>10</v>
      </c>
      <c r="W80" s="12" t="s">
        <v>47</v>
      </c>
      <c r="X80" s="8">
        <v>90</v>
      </c>
    </row>
    <row r="82" spans="1:24" s="9" customFormat="1" ht="18.600000000000001" thickBot="1">
      <c r="A82" s="11" t="s">
        <v>32</v>
      </c>
      <c r="E82" s="24"/>
      <c r="J82" s="24"/>
      <c r="O82" s="24"/>
      <c r="T82" s="24"/>
    </row>
    <row r="83" spans="1:24">
      <c r="A83" s="15" t="s">
        <v>21</v>
      </c>
      <c r="B83" s="16" t="s">
        <v>24</v>
      </c>
      <c r="C83" s="16" t="s">
        <v>15</v>
      </c>
      <c r="D83" s="17" t="s">
        <v>20</v>
      </c>
      <c r="E83" s="25"/>
      <c r="F83" s="15" t="s">
        <v>22</v>
      </c>
      <c r="G83" s="16" t="s">
        <v>24</v>
      </c>
      <c r="H83" s="16" t="s">
        <v>15</v>
      </c>
      <c r="I83" s="17" t="s">
        <v>20</v>
      </c>
      <c r="J83" s="25"/>
      <c r="K83" s="15" t="s">
        <v>23</v>
      </c>
      <c r="L83" s="16" t="s">
        <v>24</v>
      </c>
      <c r="M83" s="16" t="s">
        <v>15</v>
      </c>
      <c r="N83" s="17" t="s">
        <v>20</v>
      </c>
      <c r="O83" s="25"/>
      <c r="P83" s="15" t="s">
        <v>25</v>
      </c>
      <c r="Q83" s="16" t="s">
        <v>24</v>
      </c>
      <c r="R83" s="16" t="s">
        <v>15</v>
      </c>
      <c r="S83" s="17" t="s">
        <v>20</v>
      </c>
      <c r="T83" s="25"/>
      <c r="U83" s="15" t="s">
        <v>26</v>
      </c>
      <c r="V83" s="16" t="s">
        <v>24</v>
      </c>
      <c r="W83" s="16" t="s">
        <v>15</v>
      </c>
      <c r="X83" s="17" t="s">
        <v>20</v>
      </c>
    </row>
    <row r="84" spans="1:24">
      <c r="A84" s="18" t="s">
        <v>48</v>
      </c>
      <c r="B84" s="29">
        <f>SUMIF(A$4:A$80,"=" &amp; A84, B$4:B$80)</f>
        <v>25</v>
      </c>
      <c r="C84" s="12">
        <f>B84/B$96</f>
        <v>0.41666666666666669</v>
      </c>
      <c r="D84" s="22">
        <f>SUMIF(A$4:A$80,"=" &amp; A84, D$4:D$80)</f>
        <v>0</v>
      </c>
      <c r="E84" s="25"/>
      <c r="F84" s="18" t="s">
        <v>48</v>
      </c>
      <c r="G84" s="29">
        <f>SUMIF(F$4:F$80,"=" &amp; F84, G$4:G$80)</f>
        <v>0</v>
      </c>
      <c r="H84" s="12">
        <f>G84/G$96</f>
        <v>0</v>
      </c>
      <c r="I84" s="22">
        <f>SUMIF(F$4:F$80,"=" &amp; F84, I$4:I$80)</f>
        <v>0</v>
      </c>
      <c r="J84" s="25"/>
      <c r="K84" s="18" t="s">
        <v>48</v>
      </c>
      <c r="L84" s="29">
        <f>SUMIF(K$4:K$80,"=" &amp; K84, L$4:L$80)</f>
        <v>0</v>
      </c>
      <c r="M84" s="12">
        <f>L84/L$96</f>
        <v>0</v>
      </c>
      <c r="N84" s="22">
        <f>SUMIF(K$4:K$80,"=" &amp; K84, N$4:N$80)</f>
        <v>0</v>
      </c>
      <c r="O84" s="25"/>
      <c r="P84" s="18" t="s">
        <v>48</v>
      </c>
      <c r="Q84" s="29">
        <f>SUMIF(P$4:P$80,"=" &amp; P84, Q$4:Q$80)</f>
        <v>0</v>
      </c>
      <c r="R84" s="12">
        <f>Q84/Q$96</f>
        <v>0</v>
      </c>
      <c r="S84" s="22">
        <f>SUMIF(P$4:P$80,"=" &amp; P84, S$4:S$80)</f>
        <v>0</v>
      </c>
      <c r="T84" s="25"/>
      <c r="U84" s="18" t="s">
        <v>48</v>
      </c>
      <c r="V84" s="29">
        <f>SUMIF(U$4:U$80,"=" &amp; U84, V$4:V$80)</f>
        <v>0</v>
      </c>
      <c r="W84" s="12">
        <f>V84/V$96</f>
        <v>0</v>
      </c>
      <c r="X84" s="22">
        <f>SUMIF(U$4:U$80,"=" &amp; U84, X$4:X$80)</f>
        <v>0</v>
      </c>
    </row>
    <row r="85" spans="1:24">
      <c r="A85" s="18" t="s">
        <v>49</v>
      </c>
      <c r="B85" s="29">
        <f t="shared" ref="B85:B93" si="25">SUMIF(A$4:A$80,"=" &amp; A85, B$4:B$80)</f>
        <v>30</v>
      </c>
      <c r="C85" s="12">
        <f t="shared" ref="C85:C95" si="26">B85/B$96</f>
        <v>0.5</v>
      </c>
      <c r="D85" s="22">
        <f t="shared" ref="D85:D93" si="27">SUMIF(A$4:A$80,"=" &amp; A85, D$4:D$80)</f>
        <v>0</v>
      </c>
      <c r="E85" s="25"/>
      <c r="F85" s="18" t="s">
        <v>49</v>
      </c>
      <c r="G85" s="29">
        <f t="shared" ref="G85:G93" si="28">SUMIF(F$4:F$80,"=" &amp; F85, G$4:G$80)</f>
        <v>0</v>
      </c>
      <c r="H85" s="12">
        <f t="shared" ref="H85:H95" si="29">G85/G$96</f>
        <v>0</v>
      </c>
      <c r="I85" s="22">
        <f t="shared" ref="I85:I93" si="30">SUMIF(F$4:F$80,"=" &amp; F85, I$4:I$80)</f>
        <v>0</v>
      </c>
      <c r="J85" s="25"/>
      <c r="K85" s="18" t="s">
        <v>49</v>
      </c>
      <c r="L85" s="29">
        <f t="shared" ref="L85:L93" si="31">SUMIF(K$4:K$80,"=" &amp; K85, L$4:L$80)</f>
        <v>0</v>
      </c>
      <c r="M85" s="12">
        <f t="shared" ref="M85:M95" si="32">L85/L$96</f>
        <v>0</v>
      </c>
      <c r="N85" s="22">
        <f t="shared" ref="N85:N93" si="33">SUMIF(K$4:K$80,"=" &amp; K85, N$4:N$80)</f>
        <v>0</v>
      </c>
      <c r="O85" s="25"/>
      <c r="P85" s="18" t="s">
        <v>49</v>
      </c>
      <c r="Q85" s="29">
        <f t="shared" ref="Q85:Q93" si="34">SUMIF(P$4:P$80,"=" &amp; P85, Q$4:Q$80)</f>
        <v>0</v>
      </c>
      <c r="R85" s="12">
        <f t="shared" ref="R85:R95" si="35">Q85/Q$96</f>
        <v>0</v>
      </c>
      <c r="S85" s="22">
        <f t="shared" ref="S85:S93" si="36">SUMIF(P$4:P$80,"=" &amp; P85, S$4:S$80)</f>
        <v>0</v>
      </c>
      <c r="T85" s="25"/>
      <c r="U85" s="18" t="s">
        <v>49</v>
      </c>
      <c r="V85" s="29">
        <f t="shared" ref="V85:V93" si="37">SUMIF(U$4:U$80,"=" &amp; U85, V$4:V$80)</f>
        <v>0</v>
      </c>
      <c r="W85" s="12">
        <f t="shared" ref="W85:W95" si="38">V85/V$96</f>
        <v>0</v>
      </c>
      <c r="X85" s="22">
        <f t="shared" ref="X85:X93" si="39">SUMIF(U$4:U$80,"=" &amp; U85, X$4:X$80)</f>
        <v>0</v>
      </c>
    </row>
    <row r="86" spans="1:24">
      <c r="A86" s="18" t="s">
        <v>50</v>
      </c>
      <c r="B86" s="29">
        <f t="shared" si="25"/>
        <v>0</v>
      </c>
      <c r="C86" s="12">
        <f t="shared" si="26"/>
        <v>0</v>
      </c>
      <c r="D86" s="22">
        <f t="shared" si="27"/>
        <v>0</v>
      </c>
      <c r="E86" s="25"/>
      <c r="F86" s="18" t="s">
        <v>50</v>
      </c>
      <c r="G86" s="29">
        <f t="shared" si="28"/>
        <v>0</v>
      </c>
      <c r="H86" s="12">
        <f t="shared" si="29"/>
        <v>0</v>
      </c>
      <c r="I86" s="22">
        <f t="shared" si="30"/>
        <v>0</v>
      </c>
      <c r="J86" s="25"/>
      <c r="K86" s="18" t="s">
        <v>50</v>
      </c>
      <c r="L86" s="29">
        <f t="shared" si="31"/>
        <v>0</v>
      </c>
      <c r="M86" s="12">
        <f t="shared" si="32"/>
        <v>0</v>
      </c>
      <c r="N86" s="22">
        <f t="shared" si="33"/>
        <v>0</v>
      </c>
      <c r="O86" s="25"/>
      <c r="P86" s="18" t="s">
        <v>50</v>
      </c>
      <c r="Q86" s="29">
        <f t="shared" si="34"/>
        <v>0</v>
      </c>
      <c r="R86" s="12">
        <f t="shared" si="35"/>
        <v>0</v>
      </c>
      <c r="S86" s="22">
        <f t="shared" si="36"/>
        <v>0</v>
      </c>
      <c r="T86" s="25"/>
      <c r="U86" s="18" t="s">
        <v>50</v>
      </c>
      <c r="V86" s="29">
        <f t="shared" si="37"/>
        <v>0</v>
      </c>
      <c r="W86" s="12">
        <f t="shared" si="38"/>
        <v>0</v>
      </c>
      <c r="X86" s="22">
        <f t="shared" si="39"/>
        <v>0</v>
      </c>
    </row>
    <row r="87" spans="1:24">
      <c r="A87" s="18" t="s">
        <v>51</v>
      </c>
      <c r="B87" s="29">
        <f t="shared" si="25"/>
        <v>0</v>
      </c>
      <c r="C87" s="12">
        <f t="shared" si="26"/>
        <v>0</v>
      </c>
      <c r="D87" s="22">
        <f t="shared" si="27"/>
        <v>0</v>
      </c>
      <c r="E87" s="25"/>
      <c r="F87" s="18" t="s">
        <v>51</v>
      </c>
      <c r="G87" s="29">
        <f t="shared" si="28"/>
        <v>0</v>
      </c>
      <c r="H87" s="12">
        <f t="shared" si="29"/>
        <v>0</v>
      </c>
      <c r="I87" s="22">
        <f t="shared" si="30"/>
        <v>0</v>
      </c>
      <c r="J87" s="25"/>
      <c r="K87" s="18" t="s">
        <v>51</v>
      </c>
      <c r="L87" s="29">
        <f t="shared" si="31"/>
        <v>0</v>
      </c>
      <c r="M87" s="12">
        <f t="shared" si="32"/>
        <v>0</v>
      </c>
      <c r="N87" s="22">
        <f t="shared" si="33"/>
        <v>0</v>
      </c>
      <c r="O87" s="25"/>
      <c r="P87" s="18" t="s">
        <v>51</v>
      </c>
      <c r="Q87" s="29">
        <f t="shared" si="34"/>
        <v>0</v>
      </c>
      <c r="R87" s="12">
        <f t="shared" si="35"/>
        <v>0</v>
      </c>
      <c r="S87" s="22">
        <f t="shared" si="36"/>
        <v>0</v>
      </c>
      <c r="T87" s="25"/>
      <c r="U87" s="18" t="s">
        <v>51</v>
      </c>
      <c r="V87" s="29">
        <f t="shared" si="37"/>
        <v>0</v>
      </c>
      <c r="W87" s="12">
        <f t="shared" si="38"/>
        <v>0</v>
      </c>
      <c r="X87" s="22">
        <f t="shared" si="39"/>
        <v>0</v>
      </c>
    </row>
    <row r="88" spans="1:24">
      <c r="A88" s="18" t="s">
        <v>52</v>
      </c>
      <c r="B88" s="29">
        <f t="shared" si="25"/>
        <v>0</v>
      </c>
      <c r="C88" s="12">
        <f t="shared" si="26"/>
        <v>0</v>
      </c>
      <c r="D88" s="22">
        <f t="shared" si="27"/>
        <v>0</v>
      </c>
      <c r="E88" s="25"/>
      <c r="F88" s="18" t="s">
        <v>52</v>
      </c>
      <c r="G88" s="29">
        <f t="shared" si="28"/>
        <v>0</v>
      </c>
      <c r="H88" s="12">
        <f t="shared" si="29"/>
        <v>0</v>
      </c>
      <c r="I88" s="22">
        <f t="shared" si="30"/>
        <v>0</v>
      </c>
      <c r="J88" s="25"/>
      <c r="K88" s="18" t="s">
        <v>52</v>
      </c>
      <c r="L88" s="29">
        <f t="shared" si="31"/>
        <v>0</v>
      </c>
      <c r="M88" s="12">
        <f t="shared" si="32"/>
        <v>0</v>
      </c>
      <c r="N88" s="22">
        <f t="shared" si="33"/>
        <v>0</v>
      </c>
      <c r="O88" s="25"/>
      <c r="P88" s="18" t="s">
        <v>52</v>
      </c>
      <c r="Q88" s="29">
        <f t="shared" si="34"/>
        <v>0</v>
      </c>
      <c r="R88" s="12">
        <f t="shared" si="35"/>
        <v>0</v>
      </c>
      <c r="S88" s="22">
        <f t="shared" si="36"/>
        <v>0</v>
      </c>
      <c r="T88" s="25"/>
      <c r="U88" s="18" t="s">
        <v>52</v>
      </c>
      <c r="V88" s="29">
        <f t="shared" si="37"/>
        <v>0</v>
      </c>
      <c r="W88" s="12">
        <f t="shared" si="38"/>
        <v>0</v>
      </c>
      <c r="X88" s="22">
        <f t="shared" si="39"/>
        <v>0</v>
      </c>
    </row>
    <row r="89" spans="1:24">
      <c r="A89" s="18" t="s">
        <v>53</v>
      </c>
      <c r="B89" s="29">
        <f t="shared" si="25"/>
        <v>0</v>
      </c>
      <c r="C89" s="12">
        <f t="shared" si="26"/>
        <v>0</v>
      </c>
      <c r="D89" s="22">
        <f t="shared" si="27"/>
        <v>0</v>
      </c>
      <c r="E89" s="25"/>
      <c r="F89" s="18" t="s">
        <v>53</v>
      </c>
      <c r="G89" s="29">
        <f t="shared" si="28"/>
        <v>0</v>
      </c>
      <c r="H89" s="12">
        <f t="shared" si="29"/>
        <v>0</v>
      </c>
      <c r="I89" s="22">
        <f t="shared" si="30"/>
        <v>0</v>
      </c>
      <c r="J89" s="25"/>
      <c r="K89" s="18" t="s">
        <v>53</v>
      </c>
      <c r="L89" s="29">
        <f t="shared" si="31"/>
        <v>0</v>
      </c>
      <c r="M89" s="12">
        <f t="shared" si="32"/>
        <v>0</v>
      </c>
      <c r="N89" s="22">
        <f t="shared" si="33"/>
        <v>0</v>
      </c>
      <c r="O89" s="25"/>
      <c r="P89" s="18" t="s">
        <v>53</v>
      </c>
      <c r="Q89" s="29">
        <f t="shared" si="34"/>
        <v>0</v>
      </c>
      <c r="R89" s="12">
        <f t="shared" si="35"/>
        <v>0</v>
      </c>
      <c r="S89" s="22">
        <f t="shared" si="36"/>
        <v>0</v>
      </c>
      <c r="T89" s="25"/>
      <c r="U89" s="18" t="s">
        <v>53</v>
      </c>
      <c r="V89" s="29">
        <f t="shared" si="37"/>
        <v>0</v>
      </c>
      <c r="W89" s="12">
        <f t="shared" si="38"/>
        <v>0</v>
      </c>
      <c r="X89" s="22">
        <f t="shared" si="39"/>
        <v>0</v>
      </c>
    </row>
    <row r="90" spans="1:24">
      <c r="A90" s="18" t="s">
        <v>54</v>
      </c>
      <c r="B90" s="29">
        <f t="shared" si="25"/>
        <v>0</v>
      </c>
      <c r="C90" s="12">
        <f t="shared" si="26"/>
        <v>0</v>
      </c>
      <c r="D90" s="22">
        <f t="shared" si="27"/>
        <v>0</v>
      </c>
      <c r="E90" s="25"/>
      <c r="F90" s="18" t="s">
        <v>54</v>
      </c>
      <c r="G90" s="29">
        <f t="shared" si="28"/>
        <v>0</v>
      </c>
      <c r="H90" s="12">
        <f t="shared" si="29"/>
        <v>0</v>
      </c>
      <c r="I90" s="22">
        <f t="shared" si="30"/>
        <v>0</v>
      </c>
      <c r="J90" s="25"/>
      <c r="K90" s="18" t="s">
        <v>54</v>
      </c>
      <c r="L90" s="29">
        <f t="shared" si="31"/>
        <v>0</v>
      </c>
      <c r="M90" s="12">
        <f t="shared" si="32"/>
        <v>0</v>
      </c>
      <c r="N90" s="22">
        <f t="shared" si="33"/>
        <v>0</v>
      </c>
      <c r="O90" s="25"/>
      <c r="P90" s="18" t="s">
        <v>54</v>
      </c>
      <c r="Q90" s="29">
        <f t="shared" si="34"/>
        <v>0</v>
      </c>
      <c r="R90" s="12">
        <f t="shared" si="35"/>
        <v>0</v>
      </c>
      <c r="S90" s="22">
        <f t="shared" si="36"/>
        <v>0</v>
      </c>
      <c r="T90" s="25"/>
      <c r="U90" s="18" t="s">
        <v>54</v>
      </c>
      <c r="V90" s="29">
        <f t="shared" si="37"/>
        <v>0</v>
      </c>
      <c r="W90" s="12">
        <f t="shared" si="38"/>
        <v>0</v>
      </c>
      <c r="X90" s="22">
        <f t="shared" si="39"/>
        <v>0</v>
      </c>
    </row>
    <row r="91" spans="1:24">
      <c r="A91" s="18" t="s">
        <v>55</v>
      </c>
      <c r="B91" s="29">
        <f t="shared" si="25"/>
        <v>0</v>
      </c>
      <c r="C91" s="12">
        <f t="shared" si="26"/>
        <v>0</v>
      </c>
      <c r="D91" s="22">
        <f t="shared" si="27"/>
        <v>0</v>
      </c>
      <c r="E91" s="25"/>
      <c r="F91" s="18" t="s">
        <v>55</v>
      </c>
      <c r="G91" s="29">
        <f t="shared" si="28"/>
        <v>0</v>
      </c>
      <c r="H91" s="12">
        <f t="shared" si="29"/>
        <v>0</v>
      </c>
      <c r="I91" s="22">
        <f t="shared" si="30"/>
        <v>0</v>
      </c>
      <c r="J91" s="25"/>
      <c r="K91" s="18" t="s">
        <v>55</v>
      </c>
      <c r="L91" s="29">
        <f t="shared" si="31"/>
        <v>0</v>
      </c>
      <c r="M91" s="12">
        <f t="shared" si="32"/>
        <v>0</v>
      </c>
      <c r="N91" s="22">
        <f t="shared" si="33"/>
        <v>0</v>
      </c>
      <c r="O91" s="25"/>
      <c r="P91" s="18" t="s">
        <v>55</v>
      </c>
      <c r="Q91" s="29">
        <f t="shared" si="34"/>
        <v>0</v>
      </c>
      <c r="R91" s="12">
        <f t="shared" si="35"/>
        <v>0</v>
      </c>
      <c r="S91" s="22">
        <f t="shared" si="36"/>
        <v>0</v>
      </c>
      <c r="T91" s="25"/>
      <c r="U91" s="18" t="s">
        <v>55</v>
      </c>
      <c r="V91" s="29">
        <f t="shared" si="37"/>
        <v>0</v>
      </c>
      <c r="W91" s="12">
        <f t="shared" si="38"/>
        <v>0</v>
      </c>
      <c r="X91" s="22">
        <f t="shared" si="39"/>
        <v>0</v>
      </c>
    </row>
    <row r="92" spans="1:24">
      <c r="A92" s="18" t="s">
        <v>56</v>
      </c>
      <c r="B92" s="29">
        <f t="shared" si="25"/>
        <v>0</v>
      </c>
      <c r="C92" s="12">
        <f t="shared" si="26"/>
        <v>0</v>
      </c>
      <c r="D92" s="22">
        <f t="shared" si="27"/>
        <v>0</v>
      </c>
      <c r="E92" s="25"/>
      <c r="F92" s="18" t="s">
        <v>56</v>
      </c>
      <c r="G92" s="29">
        <f t="shared" si="28"/>
        <v>0</v>
      </c>
      <c r="H92" s="12">
        <f t="shared" si="29"/>
        <v>0</v>
      </c>
      <c r="I92" s="22">
        <f t="shared" si="30"/>
        <v>0</v>
      </c>
      <c r="J92" s="25"/>
      <c r="K92" s="18" t="s">
        <v>56</v>
      </c>
      <c r="L92" s="29">
        <f t="shared" si="31"/>
        <v>0</v>
      </c>
      <c r="M92" s="12">
        <f t="shared" si="32"/>
        <v>0</v>
      </c>
      <c r="N92" s="22">
        <f t="shared" si="33"/>
        <v>0</v>
      </c>
      <c r="O92" s="25"/>
      <c r="P92" s="18" t="s">
        <v>56</v>
      </c>
      <c r="Q92" s="29">
        <f t="shared" si="34"/>
        <v>0</v>
      </c>
      <c r="R92" s="12">
        <f t="shared" si="35"/>
        <v>0</v>
      </c>
      <c r="S92" s="22">
        <f t="shared" si="36"/>
        <v>0</v>
      </c>
      <c r="T92" s="25"/>
      <c r="U92" s="18" t="s">
        <v>56</v>
      </c>
      <c r="V92" s="29">
        <f t="shared" si="37"/>
        <v>0</v>
      </c>
      <c r="W92" s="12">
        <f t="shared" si="38"/>
        <v>0</v>
      </c>
      <c r="X92" s="22">
        <f t="shared" si="39"/>
        <v>0</v>
      </c>
    </row>
    <row r="93" spans="1:24" ht="18.600000000000001" thickBot="1">
      <c r="A93" s="19" t="s">
        <v>57</v>
      </c>
      <c r="B93" s="30">
        <f t="shared" si="25"/>
        <v>0</v>
      </c>
      <c r="C93" s="21">
        <f t="shared" si="26"/>
        <v>0</v>
      </c>
      <c r="D93" s="23">
        <f t="shared" si="27"/>
        <v>0</v>
      </c>
      <c r="E93" s="25"/>
      <c r="F93" s="19" t="s">
        <v>57</v>
      </c>
      <c r="G93" s="30">
        <f t="shared" si="28"/>
        <v>0</v>
      </c>
      <c r="H93" s="21">
        <f t="shared" si="29"/>
        <v>0</v>
      </c>
      <c r="I93" s="23">
        <f t="shared" si="30"/>
        <v>0</v>
      </c>
      <c r="J93" s="25"/>
      <c r="K93" s="19" t="s">
        <v>57</v>
      </c>
      <c r="L93" s="30">
        <f t="shared" si="31"/>
        <v>0</v>
      </c>
      <c r="M93" s="21">
        <f t="shared" si="32"/>
        <v>0</v>
      </c>
      <c r="N93" s="23">
        <f t="shared" si="33"/>
        <v>0</v>
      </c>
      <c r="O93" s="25"/>
      <c r="P93" s="19" t="s">
        <v>57</v>
      </c>
      <c r="Q93" s="30">
        <f t="shared" si="34"/>
        <v>0</v>
      </c>
      <c r="R93" s="21">
        <f t="shared" si="35"/>
        <v>0</v>
      </c>
      <c r="S93" s="23">
        <f t="shared" si="36"/>
        <v>0</v>
      </c>
      <c r="T93" s="25"/>
      <c r="U93" s="19" t="s">
        <v>57</v>
      </c>
      <c r="V93" s="30">
        <f t="shared" si="37"/>
        <v>0</v>
      </c>
      <c r="W93" s="21">
        <f t="shared" si="38"/>
        <v>0</v>
      </c>
      <c r="X93" s="23">
        <f t="shared" si="39"/>
        <v>0</v>
      </c>
    </row>
    <row r="94" spans="1:24">
      <c r="A94" s="13" t="s">
        <v>16</v>
      </c>
      <c r="B94" s="14">
        <f>B96-B95</f>
        <v>5</v>
      </c>
      <c r="C94" s="12">
        <f t="shared" si="26"/>
        <v>8.3333333333333329E-2</v>
      </c>
      <c r="D94" s="14"/>
      <c r="E94" s="26"/>
      <c r="F94" s="13" t="s">
        <v>16</v>
      </c>
      <c r="G94" s="14">
        <f>G96-G95</f>
        <v>50</v>
      </c>
      <c r="H94" s="12">
        <f t="shared" si="29"/>
        <v>1</v>
      </c>
      <c r="I94" s="14"/>
      <c r="J94" s="27"/>
      <c r="K94" s="16" t="s">
        <v>16</v>
      </c>
      <c r="L94" s="14">
        <f>L96-L95</f>
        <v>50</v>
      </c>
      <c r="M94" s="28">
        <f t="shared" si="32"/>
        <v>1</v>
      </c>
      <c r="N94" s="14"/>
      <c r="O94" s="26"/>
      <c r="P94" s="13" t="s">
        <v>16</v>
      </c>
      <c r="Q94" s="14">
        <f>Q96-Q95</f>
        <v>50</v>
      </c>
      <c r="R94" s="12">
        <f t="shared" si="35"/>
        <v>1</v>
      </c>
      <c r="S94" s="14"/>
      <c r="T94" s="26"/>
      <c r="U94" s="13" t="s">
        <v>16</v>
      </c>
      <c r="V94" s="14">
        <f>V96-V95</f>
        <v>50</v>
      </c>
      <c r="W94" s="12">
        <f t="shared" si="38"/>
        <v>1</v>
      </c>
      <c r="X94" s="14"/>
    </row>
    <row r="95" spans="1:24">
      <c r="A95" s="7" t="s">
        <v>17</v>
      </c>
      <c r="B95" s="8">
        <f>SUM(B84:B93)</f>
        <v>55</v>
      </c>
      <c r="C95" s="12">
        <f t="shared" si="26"/>
        <v>0.91666666666666663</v>
      </c>
      <c r="D95" s="8"/>
      <c r="E95" s="26"/>
      <c r="F95" s="7" t="s">
        <v>17</v>
      </c>
      <c r="G95" s="8">
        <f>SUM(G84:G93)</f>
        <v>0</v>
      </c>
      <c r="H95" s="12">
        <f t="shared" si="29"/>
        <v>0</v>
      </c>
      <c r="I95" s="8"/>
      <c r="J95" s="27"/>
      <c r="K95" s="7" t="s">
        <v>17</v>
      </c>
      <c r="L95" s="8">
        <f>SUM(L84:L93)</f>
        <v>0</v>
      </c>
      <c r="M95" s="12">
        <f t="shared" si="32"/>
        <v>0</v>
      </c>
      <c r="N95" s="8"/>
      <c r="O95" s="26"/>
      <c r="P95" s="7" t="s">
        <v>17</v>
      </c>
      <c r="Q95" s="8">
        <f>SUM(Q84:Q93)</f>
        <v>0</v>
      </c>
      <c r="R95" s="12">
        <f t="shared" si="35"/>
        <v>0</v>
      </c>
      <c r="S95" s="8"/>
      <c r="T95" s="26"/>
      <c r="U95" s="7" t="s">
        <v>17</v>
      </c>
      <c r="V95" s="8">
        <f>SUM(V84:V93)</f>
        <v>0</v>
      </c>
      <c r="W95" s="12">
        <f t="shared" si="38"/>
        <v>0</v>
      </c>
      <c r="X95" s="8"/>
    </row>
    <row r="96" spans="1:24">
      <c r="A96" s="7" t="s">
        <v>18</v>
      </c>
      <c r="B96" s="8">
        <f t="shared" ref="B96" si="40">SUMIF(A$4:A$80,"=" &amp; A96, B$4:B$80)</f>
        <v>60</v>
      </c>
      <c r="C96" s="12" t="s">
        <v>47</v>
      </c>
      <c r="D96" s="8">
        <f>SUM(D84:D93)</f>
        <v>0</v>
      </c>
      <c r="E96" s="26"/>
      <c r="F96" s="7" t="s">
        <v>18</v>
      </c>
      <c r="G96" s="8">
        <f t="shared" ref="G96" si="41">SUMIF(F$4:F$80,"=" &amp; F96, G$4:G$80)</f>
        <v>50</v>
      </c>
      <c r="H96" s="12" t="s">
        <v>47</v>
      </c>
      <c r="I96" s="8">
        <f>SUM(I84:I93)</f>
        <v>0</v>
      </c>
      <c r="J96" s="27"/>
      <c r="K96" s="7" t="s">
        <v>18</v>
      </c>
      <c r="L96" s="8">
        <f t="shared" ref="L96" si="42">SUMIF(K$4:K$80,"=" &amp; K96, L$4:L$80)</f>
        <v>50</v>
      </c>
      <c r="M96" s="12" t="s">
        <v>47</v>
      </c>
      <c r="N96" s="8">
        <f>SUM(N84:N93)</f>
        <v>0</v>
      </c>
      <c r="O96" s="26"/>
      <c r="P96" s="7" t="s">
        <v>18</v>
      </c>
      <c r="Q96" s="8">
        <f t="shared" ref="Q96" si="43">SUMIF(P$4:P$80,"=" &amp; P96, Q$4:Q$80)</f>
        <v>50</v>
      </c>
      <c r="R96" s="12" t="s">
        <v>47</v>
      </c>
      <c r="S96" s="8">
        <f>SUM(S84:S93)</f>
        <v>0</v>
      </c>
      <c r="T96" s="26"/>
      <c r="U96" s="7" t="s">
        <v>18</v>
      </c>
      <c r="V96" s="8">
        <f t="shared" ref="V96" si="44">SUMIF(U$4:U$80,"=" &amp; U96, V$4:V$80)</f>
        <v>50</v>
      </c>
      <c r="W96" s="12" t="s">
        <v>47</v>
      </c>
      <c r="X96" s="8">
        <f>SUM(X84:X93)</f>
        <v>0</v>
      </c>
    </row>
  </sheetData>
  <phoneticPr fontId="1"/>
  <pageMargins left="0.7" right="0.7" top="0.75" bottom="0.75" header="0.3" footer="0.3"/>
  <pageSetup paperSize="9" scale="5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注意事項</vt:lpstr>
      <vt:lpstr>手順</vt:lpstr>
      <vt:lpstr>タグマスタ一括登録</vt:lpstr>
      <vt:lpstr>集計表（元）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千本 拓朗</dc:creator>
  <cp:lastModifiedBy>千本 拓朗</cp:lastModifiedBy>
  <cp:lastPrinted>2020-11-09T08:06:05Z</cp:lastPrinted>
  <dcterms:created xsi:type="dcterms:W3CDTF">2015-06-05T18:19:34Z</dcterms:created>
  <dcterms:modified xsi:type="dcterms:W3CDTF">2021-03-23T05:42:03Z</dcterms:modified>
</cp:coreProperties>
</file>